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3rjra\Downloads\"/>
    </mc:Choice>
  </mc:AlternateContent>
  <xr:revisionPtr revIDLastSave="0" documentId="13_ncr:1_{E8ECB33F-CF33-42B3-A899-A4CB303DB5AB}" xr6:coauthVersionLast="47" xr6:coauthVersionMax="47" xr10:uidLastSave="{00000000-0000-0000-0000-000000000000}"/>
  <bookViews>
    <workbookView xWindow="-108" yWindow="-108" windowWidth="23256" windowHeight="12456" tabRatio="674" firstSheet="1" activeTab="6" xr2:uid="{D0081D0C-EE98-4A6A-B350-444A95812C49}"/>
  </bookViews>
  <sheets>
    <sheet name="Sheet1" sheetId="1" r:id="rId1"/>
    <sheet name="Start Here" sheetId="10" r:id="rId2"/>
    <sheet name="Source Log" sheetId="11" r:id="rId3"/>
    <sheet name="Competitor Benchmark" sheetId="12" r:id="rId4"/>
    <sheet name="Segment Scoring" sheetId="13" r:id="rId5"/>
    <sheet name="Market Sizing" sheetId="14" r:id="rId6"/>
    <sheet name="Risks Pilot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5" l="1"/>
  <c r="B27" i="15" s="1"/>
  <c r="B28" i="15" s="1"/>
  <c r="D19" i="14"/>
  <c r="D29" i="14" s="1"/>
  <c r="D34" i="14" s="1"/>
  <c r="D39" i="14" s="1"/>
  <c r="C19" i="14"/>
  <c r="C29" i="14" s="1"/>
  <c r="C34" i="14" s="1"/>
  <c r="C39" i="14" s="1"/>
  <c r="B19" i="14"/>
  <c r="B29" i="14" s="1"/>
  <c r="B34" i="14" s="1"/>
  <c r="B39" i="14" s="1"/>
  <c r="B44" i="14" s="1"/>
  <c r="D18" i="14"/>
  <c r="D28" i="14" s="1"/>
  <c r="D33" i="14" s="1"/>
  <c r="D38" i="14" s="1"/>
  <c r="C18" i="14"/>
  <c r="C28" i="14" s="1"/>
  <c r="C33" i="14" s="1"/>
  <c r="C38" i="14" s="1"/>
  <c r="B18" i="14"/>
  <c r="B28" i="14" s="1"/>
  <c r="B33" i="14" s="1"/>
  <c r="B38" i="14" s="1"/>
  <c r="B43" i="14" s="1"/>
  <c r="D17" i="14"/>
  <c r="C17" i="14"/>
  <c r="B17" i="14"/>
  <c r="B7" i="14"/>
  <c r="D8" i="13"/>
  <c r="C8" i="13"/>
  <c r="B8" i="13"/>
  <c r="D20" i="14" l="1"/>
  <c r="D27" i="14"/>
  <c r="D32" i="14" s="1"/>
  <c r="D37" i="14" s="1"/>
  <c r="D42" i="14" s="1"/>
  <c r="C27" i="14"/>
  <c r="C32" i="14" s="1"/>
  <c r="C37" i="14" s="1"/>
  <c r="C42" i="14" s="1"/>
  <c r="C20" i="14"/>
  <c r="B27" i="14"/>
  <c r="B32" i="14" s="1"/>
  <c r="B37" i="14" s="1"/>
  <c r="B42" i="14" s="1"/>
  <c r="B20" i="14"/>
  <c r="C7" i="14"/>
  <c r="D7" i="14"/>
  <c r="G13" i="13"/>
  <c r="G18" i="13" s="1"/>
  <c r="F13" i="13"/>
  <c r="E13" i="13"/>
  <c r="F12" i="13"/>
  <c r="F17" i="13" s="1"/>
  <c r="G12" i="13"/>
  <c r="E12" i="13"/>
  <c r="G11" i="13"/>
  <c r="F11" i="13"/>
  <c r="E11" i="13"/>
  <c r="C43" i="14" l="1"/>
  <c r="C44" i="14"/>
  <c r="D44" i="14"/>
  <c r="D43" i="14"/>
  <c r="E18" i="13"/>
  <c r="E23" i="13"/>
  <c r="E17" i="13"/>
  <c r="E22" i="13"/>
  <c r="E20" i="13"/>
  <c r="E16" i="13"/>
  <c r="E21" i="13"/>
  <c r="F18" i="13"/>
  <c r="G17" i="13"/>
  <c r="G16" i="13"/>
  <c r="F16" i="13"/>
</calcChain>
</file>

<file path=xl/sharedStrings.xml><?xml version="1.0" encoding="utf-8"?>
<sst xmlns="http://schemas.openxmlformats.org/spreadsheetml/2006/main" count="488" uniqueCount="377">
  <si>
    <t>Source ID</t>
  </si>
  <si>
    <t>Organization / Publisher</t>
  </si>
  <si>
    <t>Document / Page Title</t>
  </si>
  <si>
    <t>URL</t>
  </si>
  <si>
    <t>Publication Date</t>
  </si>
  <si>
    <t>Access Date</t>
  </si>
  <si>
    <t>Claim / Data Used</t>
  </si>
  <si>
    <t>Geography</t>
  </si>
  <si>
    <t>Evidence Type</t>
  </si>
  <si>
    <t>Reliability (1–5)</t>
  </si>
  <si>
    <t>Limitations / Notes</t>
  </si>
  <si>
    <t>S01</t>
  </si>
  <si>
    <t>https://solution.ojiholdings.co.jp/ojipaperpackage/en/</t>
  </si>
  <si>
    <t>Not stated</t>
  </si>
  <si>
    <t>S02</t>
  </si>
  <si>
    <t>India</t>
  </si>
  <si>
    <t>S03</t>
  </si>
  <si>
    <t>S04</t>
  </si>
  <si>
    <t>S05</t>
  </si>
  <si>
    <t>NITI Aayog</t>
  </si>
  <si>
    <t>S06</t>
  </si>
  <si>
    <t>Ecology Pac LLP</t>
  </si>
  <si>
    <t>India (Uttar Pradesh)</t>
  </si>
  <si>
    <t>Press Information Bureau (PIB), Government of India (MeitY scheme)</t>
  </si>
  <si>
    <t>https://static.pib.gov.in/WriteReadData/specificdocs/documents/2026/feb/doc202623777901.pdf</t>
  </si>
  <si>
    <t>India (national)</t>
  </si>
  <si>
    <t>Official government source (policy document)</t>
  </si>
  <si>
    <t>Automotive Component Manufacturers Association of India (ACMA)</t>
  </si>
  <si>
    <t>https://www.acma.in/about-us.php</t>
  </si>
  <si>
    <t>Industry association data; some figures via secondary trade press</t>
  </si>
  <si>
    <t>Central Pollution Control Board (CPCB) / MoEFCC</t>
  </si>
  <si>
    <t>https://eprplastic.cpcb.gov.in</t>
  </si>
  <si>
    <t>Regulator / official rules</t>
  </si>
  <si>
    <t>Report on Alternative Products and Technologies to Plastics and their Applications</t>
  </si>
  <si>
    <t>https://niti.gov.in/sites/default/files/2023-02/Plastics-Alternative-Study_Final_Report_compressed.pdf</t>
  </si>
  <si>
    <t>Government think-tank report</t>
  </si>
  <si>
    <t>Ecology Pac LLP: IndiaMART seller profile (Molded Pulp Tray / Paper Egg Tray)</t>
  </si>
  <si>
    <t>https://m.indiamart.com/ecologypac</t>
  </si>
  <si>
    <t>Company self-description on B2B marketplace</t>
  </si>
  <si>
    <t>Oji Holdings Corporation</t>
  </si>
  <si>
    <t>Sustainable Packaging for a Greener Planet (Oji paper-package solutions page: Molded Pulp, Walki lid, fibre stand-up pouch)</t>
  </si>
  <si>
    <t>25-Oct-2026</t>
  </si>
  <si>
    <t>Molded Pulp is listed with: secure fit, leak-proof, exceptionally smooth, FSC-certified, biodegradable and compostable. Same page lists a Walki fibre-based lid (replaces aluminium lids; gas, water-vapour and aroma barrier) and a 100% fibre-based stand-up pouch, and frames the offer around the EU Packaging and Packaging Waste Regulation (all EU packaging recyclable by January 2030).</t>
  </si>
  <si>
    <t>Global product page; EU-regulation framing; India not mentioned</t>
  </si>
  <si>
    <t>Official company source</t>
  </si>
  <si>
    <t>5</t>
  </si>
  <si>
    <t>Company marketing claims only: no load capacity, barrier data, price, India availability or food-contact certification. Reliability 5 applies to what Oji says about itself, not to independent validation.</t>
  </si>
  <si>
    <t>Electronics Components Manufacturing Scheme: Union Budget 2026-27 Raises Scheme Outlay to ₹40,000 Crore</t>
  </si>
  <si>
    <t>03-Feb-2026</t>
  </si>
  <si>
    <t>ECMS outlay raised to ₹40,000 crore in Union Budget 2026-27. India's electronics production up nearly six-fold over eleven years. Scheme's expected outcomes by end FY2026-27: investment ₹11,156 crore, production ₹29,024 crore, 19,240 jobs.</t>
  </si>
  <si>
    <t>Scheme-level projections, not actual electronics output or packaging demand. Silent on molded pulp. Still need total electronics production value from MeitY/PIB plus a packaging-spend assumption to size the segment. Do not treat the older $300bn-by-2026 vision target as an actual.</t>
  </si>
  <si>
    <t>Industry Performance Review FY2025-26 (ACMA release; verify exact title on acma.in)</t>
  </si>
  <si>
    <t>07-Jul-2026 (release date per trade press; confirm on ACMA site)</t>
  </si>
  <si>
    <t>FY2025-26 turnover ₹7.60 lakh crore (USD 85.9bn), +12.7% YoY; OEM supplies +16.3%; aftermarket +9%; exports USD 24bn; ~17% CAGR FY21-FY26. ACMA About page shows ₹7.59 lakh crore. Per trade press (verify in ACMA PDF): imports USD 25.4bn, EV components 4.6% of domestic OEM supplies, FY27 outlook 8-10%.</t>
  </si>
  <si>
    <t>4</t>
  </si>
  <si>
    <t>Whole auto-component sector turnover, not packaging demand: need a packaging-intensity assumption. 7.59 vs 7.60 lakh crore is a rounding mismatch, cite one consistently. Includes members and non-members per ACMA note. No molded pulp data. The About page is the official URL I could confirm; locate the actual review/press release on acma.in.</t>
  </si>
  <si>
    <t>Guidelines on Extended Producer Responsibility for Plastic Packaging (Schedule II, Plastic Waste Management Rules, 2016) and CPCB EPR portal</t>
  </si>
  <si>
    <t>Notified 16-Feb-2022 (as amended; later amendments incl. 2024)</t>
  </si>
  <si>
    <t>Producers, importers and brand owners (PIBOs) must register on CPCB's centralised EPR portal and meet EPR obligations for plastic packaging under Schedule II. Guidelines notified 16-Feb-2022 under the PWM (Amendment) Rules, 2022; stated to take effect 01-Jul-2022 (per law-firm summary).</t>
  </si>
  <si>
    <t>Plastic-only obligations. Does not mandate switching to molded pulp. The link 'EPR cost pushes brands toward alternatives' is MY inference, not a CPCB statement. Exact targets, categories and later amendments must be read from the notification itself before quoting. Portal URL surfaced via secondary sources; confirm it opens.</t>
  </si>
  <si>
    <t>Apr-May 2022 (cover says May 2022)</t>
  </si>
  <si>
    <t>Committee report covering the plastics problem in India, plastics circularity in packaging/automotive/construction, bioplastics and other substitutes, TRL mapping, roadmap and cost-benefit analysis (chapters 5-8). Press summaries attribute ~60% plastic waste collected / ~40% uncollected and recommendations on EPR, labelling and R&amp;D incentives to it (verify in PDF).</t>
  </si>
  <si>
    <t>Data is 2022, over four years old, hence 4 not 5. Not confirmed whether it discusses molded pulp specifically: Ctrl+F 'pulp' and 'moulded' in the PDF. Several numbers seen only via secondary summaries. Report carries a NITI disclaimer on data accuracy.</t>
  </si>
  <si>
    <t>Self-described manufacturer and wholesaler of molded pulp trays and paper egg trays; established 2021; based in Jansath, Muzaffarnagar, Uttar Pradesh. Listed products include pharma vial and glass bottle trays, cosmetic trays, shoe inserts.</t>
  </si>
  <si>
    <t>Company self-description on B2B marketplace (not an independent official website)</t>
  </si>
  <si>
    <t>3</t>
  </si>
  <si>
    <t>I did not find an official Ecology Pac website; this is a marketplace listing. No verified capacity, pricing, customers, or electronics/auto applications. Marketplace ratings are platform ratings, not independent validation. Use as an example of a small Indian molded pulp maker; check for an own-site before submitting.</t>
  </si>
  <si>
    <t>S07</t>
  </si>
  <si>
    <t>Towards Packaging (market-research vendor)</t>
  </si>
  <si>
    <t>India Molded Pulp Packaging Market Size, Trends and Segments (2026-2035)</t>
  </si>
  <si>
    <t>https://www.towardspackaging.com/insights/india-molded-pulp-packaging-market-sizing</t>
  </si>
  <si>
    <t>20-Feb-2026 (press-release date)</t>
  </si>
  <si>
    <t>India molded pulp market USD 291M in 2025, forecast USD 721.16M by 2035 at 9.5% CAGR (USD 318.65M in 2026). 2025 shares: food packaging ~52%, trays ~41%, wood pulp ~72%, transfer-molded ~37%. Names Huhtamaki PPL, Pakka, Neeyog, Maspack and Discover India Packaging among key players.</t>
  </si>
  <si>
    <t>Commercial market-research summary / press release</t>
  </si>
  <si>
    <t>2</t>
  </si>
  <si>
    <t>Vendor method is paywalled. Cannot be reconciled with S08: food at ~52% of USD 291M is ~USD 151M, and S08's electronics figure alone (USD 170M) would push the total past 100%. Treat as an order-of-magnitude range, not a fact.</t>
  </si>
  <si>
    <t>S08</t>
  </si>
  <si>
    <t>India Molded Fiber Protective Packaging for Electronics Market Size and Forecast 2025-2035</t>
  </si>
  <si>
    <t>https://www.towardspackaging.com/outlook/india-molded-fiber-protective-packaging-for-electronics-market</t>
  </si>
  <si>
    <t>India molded-fibre protective packaging for electronics: USD 0.17bn in 2025, above USD 0.34bn by 2035, 7.4% CAGR (2026-2035). Product types: end caps and trays. The report's named 'top companies' (UFP Technologies, Brodrene Hartmann, EnviroPAK, Henry Molded Products, Stora Enso) are mostly overseas firms.</t>
  </si>
  <si>
    <t>Commercial market-research summary</t>
  </si>
  <si>
    <t>Conflicts with S07 (see S07). Scope definition unclear and named companies suggest a templated report; India presence of those firms is unverified. Used only as the HIGH bound for electronics.</t>
  </si>
  <si>
    <t>S09</t>
  </si>
  <si>
    <t>Maspack Limited (IndiaMART and ExportHub profiles)</t>
  </si>
  <si>
    <t>Maspack Limited: Paper Pulp Industrial Packaging Trays (IndiaMART)</t>
  </si>
  <si>
    <t>https://m.indiamart.com/maspack-limited/packaging-tray.html</t>
  </si>
  <si>
    <t>Hyderabad-based. Lists paper-pulp industrial packaging trays (application: industrial parts) and fruit trays; says its machines convert recycled paper into egg/apple trays and industrial packaging. ExportHub profile lists ISO 9001 and CE, a US$2.5-5M revenue band and a 71-90% export share.</t>
  </si>
  <si>
    <t>India (Telangana)</t>
  </si>
  <si>
    <t>Company self-description on B2B marketplace/directory</t>
  </si>
  <si>
    <t>Self-declared, undated; revenue is a directory band, not audited. Shows a local incumbent exists in industrial trays; says nothing on price or spec.</t>
  </si>
  <si>
    <t>S10</t>
  </si>
  <si>
    <t>Pulp2Pack (IndiaMART profile)</t>
  </si>
  <si>
    <t>Pulp2Pack: Molded Pulp Tray and Corner Guards (company profile)</t>
  </si>
  <si>
    <t>https://m.indiamart.com/pulp2pack/profile.html</t>
  </si>
  <si>
    <t>Established 2008, New Delhi; manufactures and exports molded pulp trays and corner guards; lists electronics (smartphones, tablets, laptops) among end uses.</t>
  </si>
  <si>
    <t>India (Delhi)</t>
  </si>
  <si>
    <t>Self-declared; no capacity, pricing or customer evidence.</t>
  </si>
  <si>
    <t>S11</t>
  </si>
  <si>
    <t>Papermart (trade media) on Ecosure Pulpmolding Technologies</t>
  </si>
  <si>
    <t>Ecosure Pulpmolding to Expand Production of Fully Automated Pulp Molding Machines with its Second Unit</t>
  </si>
  <si>
    <t>https://papermart.in/?p=36282</t>
  </si>
  <si>
    <t>Ecosure announced a second unit in Coimbatore to make 'Made in India' fully automatic pulp molding machines for tableware packaging; offers turnkey molded-fibre solutions.</t>
  </si>
  <si>
    <t>India (Tamil Nadu)</t>
  </si>
  <si>
    <t>Trade media reporting a company announcement</t>
  </si>
  <si>
    <t>Company statement via trade press. Relevance: domestic machine supply may lower the barrier for local competitors, or offer Oji a local-production route [Likely].</t>
  </si>
  <si>
    <t>S12</t>
  </si>
  <si>
    <t>S M Pulp Packaging Pvt. Ltd. (PaperIndex listing)</t>
  </si>
  <si>
    <t>Electronics &amp; Auto Goods Packaging (S M Group listing)</t>
  </si>
  <si>
    <t>https://www.paperindex.com/product-details/electronics-auto-goods-packaging/507</t>
  </si>
  <si>
    <t>S M Group states it makes molded pulp products for automotive, medical, electronics, household, office products, hardware and consumer goods.</t>
  </si>
  <si>
    <t>India (city not captured)</t>
  </si>
  <si>
    <t>Company self-description on trade directory</t>
  </si>
  <si>
    <t>Self-declared. City, scale and customers not captured.</t>
  </si>
  <si>
    <t>S13</t>
  </si>
  <si>
    <t>TAPPI OnDemand and Pulp &amp; Paper News</t>
  </si>
  <si>
    <t>Molded Pulp Packaging Market Size and Outlook (TAPPI, 18-Dec-2025) and related Pulp &amp; Paper News item</t>
  </si>
  <si>
    <t>https://ondemand.tappi.org/?p=5983</t>
  </si>
  <si>
    <t>18-Dec-2025</t>
  </si>
  <si>
    <t>Cautionary case: Australian sustainable-packaging firm Great Wrap (compostable stretch wrap) entered voluntary administration in Oct 2025 with debts of about USD 39M; reported losses USD 26.2M and revenue down 32% between FY23 and FY25. TAPPI also says regulation and consumer demand are driving India's molded pulp growth.</t>
  </si>
  <si>
    <t>Australia (case); India (growth comment)</t>
  </si>
  <si>
    <t>Trade press</t>
  </si>
  <si>
    <t>Great Wrap made compostable stretch wrap, not molded pulp. Used only as a reminder that sustainable-packaging economics can fail; not evidence about Indian demand. Debt figure from Pulp &amp; Paper News (https://www.pulpapernews.com/en/node/17286).</t>
  </si>
  <si>
    <t>Oji India: Molded Pulp Market-Entry Study (independent desk research)</t>
  </si>
  <si>
    <t>Research question</t>
  </si>
  <si>
    <t>Which one of three Indian packaging segments (electronics/e-commerce protective, food/FMCG, automotive/industrial components) should Oji India Business Development prioritise for a molded-pulp pilot, and what must a six-month pilot prove?</t>
  </si>
  <si>
    <t>Author / date</t>
  </si>
  <si>
    <t>Jayanth Ram, IIT Hyderabad. Workbook last updated 25-Oct-2026.</t>
  </si>
  <si>
    <t>Method</t>
  </si>
  <si>
    <t>What this is NOT</t>
  </si>
  <si>
    <t>Result in one line</t>
  </si>
  <si>
    <t>Food/FMCG edges electronics on base weights, but the margin is small and flips under feasibility-heavy weights. See Segment_Scoring.</t>
  </si>
  <si>
    <t>Sheets</t>
  </si>
  <si>
    <t>Colour legend</t>
  </si>
  <si>
    <t>Blue font = hardcoded number taken from a logged source. Yellow fill = analyst assumption (change it and everything recalculates). Black = formula.</t>
  </si>
  <si>
    <t>Confidence tags</t>
  </si>
  <si>
    <t>[Certain] hard evidence. [Likely] strong inference. [Guessing] gap-filling. Used in the Rationale and Notes columns.</t>
  </si>
  <si>
    <t>Reliability scale</t>
  </si>
  <si>
    <t>5 = official/primary for what it states;                                                                                                                                          4 = credible association or dated official;                                                                                                                                         3 = trade press or self-declared marketplace profile;                                                                                                                                                                    2 = commercial market-research vendor with paywalled method;                                                                                        1 = no source.</t>
  </si>
  <si>
    <t>Source Log &gt; Competitor Benchmark &gt; Segment Scoring &gt; Market Sizing &gt; Risks Pilot</t>
  </si>
  <si>
    <t>No customer interviews, no price quotes, no lab tests. Every market figure from a research vendor (S07, S08) is low-reliability and the two conflict; please see Market Sizing.</t>
  </si>
  <si>
    <t>Desk research only. 13 sources logged (Source Log). Segment scoring and market sizing use sourced inputs where they exist and explicitly labelled assumptions where they do not.</t>
  </si>
  <si>
    <t>C01</t>
  </si>
  <si>
    <t>Maspack Limited</t>
  </si>
  <si>
    <t>Indian molded pulp maker (also pulp-moulding machinery)</t>
  </si>
  <si>
    <t>Hyderabad, Telangana</t>
  </si>
  <si>
    <t>Electronics / industrial</t>
  </si>
  <si>
    <t>Paper-pulp industrial packaging trays and fruit trays; machines convert recycled paper into egg/apple trays and industrial packaging; ISO 9001 and CE listed.</t>
  </si>
  <si>
    <t>Positioning looks recycled-paper and commodity-priced; no FSC or barrier claims seen. [Guessing]</t>
  </si>
  <si>
    <t>C02</t>
  </si>
  <si>
    <t>Pulp2Pack</t>
  </si>
  <si>
    <t>Indian molded pulp maker</t>
  </si>
  <si>
    <t>New Delhi (est. 2008)</t>
  </si>
  <si>
    <t>Electronics</t>
  </si>
  <si>
    <t>Molded pulp trays and corner guards; electronics cushioning cited as an end use.</t>
  </si>
  <si>
    <t>Direct electronics-cushioning product range.</t>
  </si>
  <si>
    <t>Scale, certifications and customers not shown.</t>
  </si>
  <si>
    <t>C03</t>
  </si>
  <si>
    <t>S M Pulp Packaging Pvt. Ltd.</t>
  </si>
  <si>
    <t>Auto / electronics / medical</t>
  </si>
  <si>
    <t>Says it serves automotive, medical, electronics, household and hardware sectors.</t>
  </si>
  <si>
    <t>Multi-sector range, including auto parts.</t>
  </si>
  <si>
    <t>Capacity and quality systems not shown.</t>
  </si>
  <si>
    <t>C04</t>
  </si>
  <si>
    <t>Small Indian molded pulp maker</t>
  </si>
  <si>
    <t>Jansath, Uttar Pradesh (est. 2021)</t>
  </si>
  <si>
    <t>Pharma, cosmetic and egg trays</t>
  </si>
  <si>
    <t>Lists pharma vial and glass-bottle trays, cosmetic trays, shoe inserts and egg trays.</t>
  </si>
  <si>
    <t>No official website found; no verified capacity or certifications.</t>
  </si>
  <si>
    <t>C05</t>
  </si>
  <si>
    <t>Huhtamaki PPL Limited</t>
  </si>
  <si>
    <t>Large Indian packaging company</t>
  </si>
  <si>
    <t>Food / FMCG</t>
  </si>
  <si>
    <t>S07 says it produces molded fibre trays and recyclable packaging components for food, beverage and personal care.</t>
  </si>
  <si>
    <t>Barrier and leak-proof performance vs Oji not benchmarked.</t>
  </si>
  <si>
    <t>C06</t>
  </si>
  <si>
    <t>Pakka Limited and Neeyog</t>
  </si>
  <si>
    <t>Indian molded fibre food-service makers</t>
  </si>
  <si>
    <t>Pakka: Ayodhya, UP (per vendor listing); Neeyog: India</t>
  </si>
  <si>
    <t>Food service</t>
  </si>
  <si>
    <t>Pakka: compostable food serviceware from agri-waste (trays, containers for catering and restaurants). Neeyog: meal trays, egg cartons, bagasse food containers.</t>
  </si>
  <si>
    <t>Agri-waste raw material and food-service focus.</t>
  </si>
  <si>
    <t>High-barrier fibre packaging for packaged FMCG not evidenced in sources gathered.</t>
  </si>
  <si>
    <t>C07</t>
  </si>
  <si>
    <t>Ecosure Pulpmolding Technologies</t>
  </si>
  <si>
    <t>Machine and turnkey provider</t>
  </si>
  <si>
    <t>Coimbatore, Tamil Nadu</t>
  </si>
  <si>
    <t>Enabler / threat</t>
  </si>
  <si>
    <t>Makes 'Made in India' fully automatic pulp molding machines; offers turnkey molded-fibre solutions.</t>
  </si>
  <si>
    <t>Also a possible local-production route for Oji. [Guessing]</t>
  </si>
  <si>
    <t>C08</t>
  </si>
  <si>
    <t>Incumbent substitutes (plastic, EPS/thermocol, corrugated or paper cushioning)</t>
  </si>
  <si>
    <t>Substitute materials</t>
  </si>
  <si>
    <t>All segments</t>
  </si>
  <si>
    <t>No substitute-cost source gathered in this project. S07's table of contents lists a plastic/thermocol comparison (paywalled). S04: plastic packaging now carries EPR obligations.</t>
  </si>
  <si>
    <t>EPR adds cost and compliance burden to plastic packaging. [Likely]</t>
  </si>
  <si>
    <t>S04, S07</t>
  </si>
  <si>
    <t>ID</t>
  </si>
  <si>
    <t>Competitor / alternative</t>
  </si>
  <si>
    <t>Type</t>
  </si>
  <si>
    <t>Base</t>
  </si>
  <si>
    <t>Segment relevance</t>
  </si>
  <si>
    <t>What the sources show</t>
  </si>
  <si>
    <t>Likely strength</t>
  </si>
  <si>
    <t>Likely gap vs Oji's offer</t>
  </si>
  <si>
    <t>Evidence confidence (1–5)</t>
  </si>
  <si>
    <t>Established local supplier with export orientation.</t>
  </si>
  <si>
    <t>Low-cost, niche tray supply.</t>
  </si>
  <si>
    <t>Scale and existing FMCG relationships.</t>
  </si>
  <si>
    <t>Low unit cost and established supply.</t>
  </si>
  <si>
    <t>Lowers capex for domestic entrants, which erodes any technology edge.</t>
  </si>
  <si>
    <t>Criterion</t>
  </si>
  <si>
    <t>Weight: Base</t>
  </si>
  <si>
    <t>Weight: Demand-heavy</t>
  </si>
  <si>
    <t>Weight: Feasibility-heavy</t>
  </si>
  <si>
    <t>Electronics / e-commerce protective</t>
  </si>
  <si>
    <t>Automotive / industrial components</t>
  </si>
  <si>
    <t>Rationale: electronics</t>
  </si>
  <si>
    <t>Rationale: food / FMCG</t>
  </si>
  <si>
    <t>Rationale: auto / industrial</t>
  </si>
  <si>
    <t>Demand potential</t>
  </si>
  <si>
    <t>S02 policy push and S08 growth (7.4% CAGR) but S08 is low-reliability. [Likely]</t>
  </si>
  <si>
    <t>S07: food ~52% of India molded pulp, the largest segment, but vendor data. [Likely]</t>
  </si>
  <si>
    <t>S03: large sector (INR 7.60 lakh crore) but packaging need and fibre substitution unproven. [Guessing]</t>
  </si>
  <si>
    <t>Customer fit with Oji's offer</t>
  </si>
  <si>
    <t>S01 'secure fit' and 'smooth' help, but 'leak-proof' is irrelevant. [Likely]</t>
  </si>
  <si>
    <t>S01 leak-proof, compostable, FSC, plus Walki barrier lid and pouch; JD lists 'Sustainable Package (biodegradable, high barrier)'. [Likely]</t>
  </si>
  <si>
    <t>No Oji evidence for auto parts. [Guessing]</t>
  </si>
  <si>
    <t>Competitive gap</t>
  </si>
  <si>
    <t>Local makers already sell electronics trays (S09, S10, S12); premium gap unverified. [Likely]</t>
  </si>
  <si>
    <t>Crowded: Huhtamaki PPL, Pakka, Neeyog and others (S07). [Likely]</t>
  </si>
  <si>
    <t>Few auto-specific fibre suppliers seen (S12), but little evidence either way. [Guessing]</t>
  </si>
  <si>
    <t>Adoption feasibility</t>
  </si>
  <si>
    <t>Few, spec-driven buyers but qualification takes time. [Guessing]</t>
  </si>
  <si>
    <t>S04 EPR and plastic rules create pull; food-contact approvals needed (verify). [Likely]</t>
  </si>
  <si>
    <t>Parts packaging is spec- and reuse-driven; slower adoption. [Guessing]</t>
  </si>
  <si>
    <t>Commercial feasibility</t>
  </si>
  <si>
    <t>Engineered inserts may carry a premium; India supply route unknown. [Guessing]</t>
  </si>
  <si>
    <t>Price-sensitive buyers and cheap local fibre (S07, S11). [Likely]</t>
  </si>
  <si>
    <t>Cost-driven supply chains; returnable plastics likely entrenched. [Guessing]</t>
  </si>
  <si>
    <t>Evidence confidence</t>
  </si>
  <si>
    <t>S08 plus three vendor listings, but S07/S08 conflict. [Certain that they conflict]</t>
  </si>
  <si>
    <t>S07 plus competitor mentions; same vendor, same conflict.</t>
  </si>
  <si>
    <t>Only S03 scale data; nothing on packaging demand.</t>
  </si>
  <si>
    <t>Weight check (must be 100%)</t>
  </si>
  <si>
    <t>Weighted score (out of 5)</t>
  </si>
  <si>
    <t>Electronics / e-commerce</t>
  </si>
  <si>
    <t>Auto / industrial</t>
  </si>
  <si>
    <t>Base weights</t>
  </si>
  <si>
    <t>Demand-heavy weights</t>
  </si>
  <si>
    <t>Feasibility-heavy weights</t>
  </si>
  <si>
    <t>Rank (1 = best)</t>
  </si>
  <si>
    <t>Leading segment: base weights</t>
  </si>
  <si>
    <t>Lead margin: base weights (points)</t>
  </si>
  <si>
    <t>Leading segment: demand-heavy</t>
  </si>
  <si>
    <t>Leading segment: feasibility-heavy</t>
  </si>
  <si>
    <t>Market sizing: Low / Base / High (USD million unless stated). Yellow = assumption, blue = sourced input.</t>
  </si>
  <si>
    <t>Input</t>
  </si>
  <si>
    <t>Low</t>
  </si>
  <si>
    <t>High</t>
  </si>
  <si>
    <t>Basis / source</t>
  </si>
  <si>
    <t>India molded pulp market 2025 (USD M)</t>
  </si>
  <si>
    <t>S07 (vendor; low reliability)</t>
  </si>
  <si>
    <t>Sourced</t>
  </si>
  <si>
    <t>Market CAGR 2025-2028</t>
  </si>
  <si>
    <t>Low = S08 CAGR; Base = S07 CAGR; High = +1.5 pts (assumption)</t>
  </si>
  <si>
    <t>Mixed</t>
  </si>
  <si>
    <t>Projection years (2025 to 2028)</t>
  </si>
  <si>
    <t>Pilot Jan-Jun 2027, scale-up horizon 2028</t>
  </si>
  <si>
    <t>Assumption</t>
  </si>
  <si>
    <t>FX: INR per USD (derived)</t>
  </si>
  <si>
    <t>S03: INR 7.60 lakh crore = USD 85.9bn</t>
  </si>
  <si>
    <t>Derived</t>
  </si>
  <si>
    <t>Segment share inputs</t>
  </si>
  <si>
    <t>Food / FMCG share of India molded pulp</t>
  </si>
  <si>
    <t>Base = S07 (52%); Low/High = +/-10 pts (assumption)</t>
  </si>
  <si>
    <t>Auto / industrial share of India molded pulp</t>
  </si>
  <si>
    <t>No source: placeholder pending data</t>
  </si>
  <si>
    <t>Assumption [Guessing]</t>
  </si>
  <si>
    <t>Electronics share (Low case only)</t>
  </si>
  <si>
    <t>No source: placeholder; Base and High use S08 (below)</t>
  </si>
  <si>
    <t>Electronics segment size, S08 (USD M, High case)</t>
  </si>
  <si>
    <t>S08: USD 0.17bn in 2025</t>
  </si>
  <si>
    <t>Segment size 2025 (USD M)</t>
  </si>
  <si>
    <t>Segment</t>
  </si>
  <si>
    <t>Low = share x S07 total; High = S08; Base = midpoint of the two</t>
  </si>
  <si>
    <t>Total x food share</t>
  </si>
  <si>
    <t>Automotive / industrial</t>
  </si>
  <si>
    <t>Total x auto share (placeholder)</t>
  </si>
  <si>
    <t>Sum of segments as % of S07 total</t>
  </si>
  <si>
    <t>Above 100% = the sources conflict (High case). Scenarios are not additive.</t>
  </si>
  <si>
    <t>Funnel assumptions (apply equally to all segments)</t>
  </si>
  <si>
    <t>Addressable share (premium / barrier-capable / spec-driven)</t>
  </si>
  <si>
    <t>No source. Same for every segment so size, not assumption, drives the ranking</t>
  </si>
  <si>
    <t>Obtainable share of addressable by 2028</t>
  </si>
  <si>
    <t>No source. Premium entrant, no local plant assumed</t>
  </si>
  <si>
    <t>Segment size in 2028 (USD M)</t>
  </si>
  <si>
    <t>Formula: 2025 size x (1+CAGR)^years</t>
  </si>
  <si>
    <t>Serviceable addressable market 2028 (USD M)</t>
  </si>
  <si>
    <t>Formula: 2028 size x addressable share</t>
  </si>
  <si>
    <t>Obtainable revenue 2028 (USD M)</t>
  </si>
  <si>
    <t>Formula: SAM x obtainable share</t>
  </si>
  <si>
    <t>Obtainable revenue 2028 (INR crore)</t>
  </si>
  <si>
    <t>Formula: USD M x FX / 10 (1 crore = 10M INR)</t>
  </si>
  <si>
    <t>Risk</t>
  </si>
  <si>
    <t>Likelihood</t>
  </si>
  <si>
    <t>Impact</t>
  </si>
  <si>
    <t>Evidence / reason</t>
  </si>
  <si>
    <t>Mitigation in pilot</t>
  </si>
  <si>
    <t>Local incumbents undercut on price</t>
  </si>
  <si>
    <t>Many Indian makers (S06, S07, S09-S12). [Likely]</t>
  </si>
  <si>
    <t>Landed-cost model vs 2-3 incumbent quotes before any sample shipment.</t>
  </si>
  <si>
    <t>No local supply route for Oji's product</t>
  </si>
  <si>
    <t>Test import vs local-production/partner routes (see S11) in the cost model.</t>
  </si>
  <si>
    <t>Market-size evidence is weak and conflicting</t>
  </si>
  <si>
    <t>Certain</t>
  </si>
  <si>
    <t>Medium</t>
  </si>
  <si>
    <t>S07 and S08 cannot both be right. [Certain]</t>
  </si>
  <si>
    <t>Replace vendor numbers with buyer-reported volumes from interviews.</t>
  </si>
  <si>
    <t>Oji's performance claims not validated for Indian conditions</t>
  </si>
  <si>
    <t>S01 claims are marketing statements only. [Certain]</t>
  </si>
  <si>
    <t>Buyer-specified leak, grease and moisture tests on samples; record pass/fail.</t>
  </si>
  <si>
    <t>Regulatory pull weaker than assumed</t>
  </si>
  <si>
    <t>S04 EPR applies to plastic packaging; it does not mandate fibre. [Certain]</t>
  </si>
  <si>
    <t>Ask buyers how EPR cost actually enters their packaging decision.</t>
  </si>
  <si>
    <t>Food-contact compliance gap</t>
  </si>
  <si>
    <t>Not researched in this project; food-contact approval is likely required. [Likely]</t>
  </si>
  <si>
    <t>Confirm requirements with a regulatory consultant before buyer trials.</t>
  </si>
  <si>
    <t>Sustainable-packaging economics fail even with demand</t>
  </si>
  <si>
    <t>Great Wrap (S13). [Certain that it failed; relevance moderate]</t>
  </si>
  <si>
    <t>Set a kill criterion on unit economics, not only on buyer interest.</t>
  </si>
  <si>
    <t>This study has no primary data</t>
  </si>
  <si>
    <t>The pilot's first step is buyer interviews.</t>
  </si>
  <si>
    <t>Pilot hypotheses and kill criteria (thresholds are assumptions to be agreed with Oji)</t>
  </si>
  <si>
    <t>Hypothesis</t>
  </si>
  <si>
    <t>Test</t>
  </si>
  <si>
    <t>Success metric</t>
  </si>
  <si>
    <t>Kill criterion</t>
  </si>
  <si>
    <t>Month</t>
  </si>
  <si>
    <t>H1</t>
  </si>
  <si>
    <t>Buyers will pay a premium for fibre packaging with barrier and leak-proof performance</t>
  </si>
  <si>
    <t>8-10 buyer interviews (premium ready-to-eat, QSR/delivery, packaged-food brands)</t>
  </si>
  <si>
    <t>At least 3 of 8 interviewed buyers state a premium they would accept</t>
  </si>
  <si>
    <t>Fewer than 2 buyers accept any premium</t>
  </si>
  <si>
    <t>1-2</t>
  </si>
  <si>
    <t>H2</t>
  </si>
  <si>
    <t>Oji samples meet buyers' functional specs</t>
  </si>
  <si>
    <t>Buyer-specified leak, grease and moisture tests on samples</t>
  </si>
  <si>
    <t>At least 90% pass rate on agreed tests</t>
  </si>
  <si>
    <t>Pass rate below 70%</t>
  </si>
  <si>
    <t>2-4</t>
  </si>
  <si>
    <t>H3</t>
  </si>
  <si>
    <t>A viable landed cost exists</t>
  </si>
  <si>
    <t>Cost model: import vs local production vs incumbent quotes</t>
  </si>
  <si>
    <t>Landed cost within the premium accepted in H1</t>
  </si>
  <si>
    <t>Landed cost above the accepted premium on every route</t>
  </si>
  <si>
    <t>H4</t>
  </si>
  <si>
    <t>Buyers will commit to a trial</t>
  </si>
  <si>
    <t>Pitch pilot terms to interested buyers</t>
  </si>
  <si>
    <t>At least 1 LOI or paid trial</t>
  </si>
  <si>
    <t>No buyer commits</t>
  </si>
  <si>
    <t>5-6</t>
  </si>
  <si>
    <t>Pilot budget (INR lakh, all assumptions; excludes Oji staff time and any capex)</t>
  </si>
  <si>
    <t>Item</t>
  </si>
  <si>
    <t>INR lakh</t>
  </si>
  <si>
    <t>Basis</t>
  </si>
  <si>
    <t>Sample production and courier</t>
  </si>
  <si>
    <t>Lab / buyer-specified functional tests</t>
  </si>
  <si>
    <t>Buyer visits and interview travel</t>
  </si>
  <si>
    <t>Regulatory and cost-model consultant</t>
  </si>
  <si>
    <t>Contingency %</t>
  </si>
  <si>
    <t>Subtotal</t>
  </si>
  <si>
    <t>Total including contingency</t>
  </si>
  <si>
    <t>Total (INR crore)</t>
  </si>
  <si>
    <t xml:space="preserve">S01 does not establish India availability; molded pulp is bulky. </t>
  </si>
  <si>
    <t>S.No</t>
  </si>
  <si>
    <t xml:space="preserve">Desk research only. </t>
  </si>
  <si>
    <t>Note: Example values in Market Sizing are illustrative can vary time to time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</si>
</sst>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rgb="FF0000FF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6A00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333333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2" fillId="2" borderId="2" xfId="0" applyFont="1" applyFill="1" applyBorder="1" applyAlignment="1">
      <alignment horizontal="center"/>
    </xf>
    <xf numFmtId="0" fontId="1" fillId="3" borderId="0" xfId="0" applyFont="1" applyFill="1"/>
    <xf numFmtId="0" fontId="5" fillId="0" borderId="3" xfId="0" applyFont="1" applyBorder="1" applyAlignment="1">
      <alignment vertical="top" wrapText="1"/>
    </xf>
    <xf numFmtId="0" fontId="7" fillId="0" borderId="0" xfId="0" applyFont="1"/>
    <xf numFmtId="0" fontId="8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/>
    <xf numFmtId="0" fontId="0" fillId="0" borderId="1" xfId="0" applyBorder="1"/>
    <xf numFmtId="0" fontId="9" fillId="5" borderId="3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9" fontId="5" fillId="6" borderId="3" xfId="0" applyNumberFormat="1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9" fontId="8" fillId="0" borderId="3" xfId="0" applyNumberFormat="1" applyFont="1" applyBorder="1" applyAlignment="1">
      <alignment vertical="top" wrapText="1"/>
    </xf>
    <xf numFmtId="2" fontId="8" fillId="0" borderId="3" xfId="0" applyNumberFormat="1" applyFont="1" applyBorder="1" applyAlignment="1">
      <alignment vertical="top" wrapText="1"/>
    </xf>
    <xf numFmtId="9" fontId="5" fillId="6" borderId="1" xfId="0" applyNumberFormat="1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9" fontId="8" fillId="0" borderId="1" xfId="0" applyNumberFormat="1" applyFont="1" applyBorder="1" applyAlignment="1">
      <alignment vertical="top" wrapText="1"/>
    </xf>
    <xf numFmtId="2" fontId="5" fillId="0" borderId="1" xfId="0" applyNumberFormat="1" applyFont="1" applyBorder="1"/>
    <xf numFmtId="0" fontId="5" fillId="0" borderId="1" xfId="0" applyFont="1" applyBorder="1"/>
    <xf numFmtId="2" fontId="8" fillId="0" borderId="1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5" fontId="6" fillId="6" borderId="3" xfId="0" applyNumberFormat="1" applyFont="1" applyFill="1" applyBorder="1" applyAlignment="1">
      <alignment vertical="top" wrapText="1"/>
    </xf>
    <xf numFmtId="1" fontId="5" fillId="6" borderId="3" xfId="0" applyNumberFormat="1" applyFont="1" applyFill="1" applyBorder="1" applyAlignment="1">
      <alignment vertical="top" wrapText="1"/>
    </xf>
    <xf numFmtId="164" fontId="5" fillId="0" borderId="3" xfId="0" applyNumberFormat="1" applyFont="1" applyBorder="1" applyAlignment="1">
      <alignment vertical="top" wrapText="1"/>
    </xf>
    <xf numFmtId="9" fontId="6" fillId="6" borderId="3" xfId="0" applyNumberFormat="1" applyFont="1" applyFill="1" applyBorder="1" applyAlignment="1">
      <alignment vertical="top" wrapText="1"/>
    </xf>
    <xf numFmtId="9" fontId="6" fillId="0" borderId="3" xfId="0" applyNumberFormat="1" applyFont="1" applyBorder="1" applyAlignment="1">
      <alignment vertical="top" wrapText="1"/>
    </xf>
    <xf numFmtId="2" fontId="5" fillId="0" borderId="3" xfId="0" applyNumberFormat="1" applyFont="1" applyBorder="1" applyAlignment="1">
      <alignment vertical="top" wrapText="1"/>
    </xf>
    <xf numFmtId="0" fontId="8" fillId="0" borderId="0" xfId="0" applyFont="1"/>
    <xf numFmtId="164" fontId="5" fillId="6" borderId="3" xfId="0" applyNumberFormat="1" applyFont="1" applyFill="1" applyBorder="1" applyAlignment="1">
      <alignment vertical="top" wrapText="1"/>
    </xf>
    <xf numFmtId="164" fontId="8" fillId="0" borderId="3" xfId="0" applyNumberFormat="1" applyFont="1" applyBorder="1" applyAlignment="1">
      <alignment vertical="top" wrapText="1"/>
    </xf>
    <xf numFmtId="0" fontId="9" fillId="5" borderId="4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top" wrapText="1"/>
    </xf>
    <xf numFmtId="0" fontId="0" fillId="0" borderId="0" xfId="0" applyBorder="1"/>
    <xf numFmtId="0" fontId="4" fillId="0" borderId="1" xfId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wardspackaging.com/outlook/india-molded-fiber-protective-packaging-for-electronics-market" TargetMode="External"/><Relationship Id="rId13" Type="http://schemas.openxmlformats.org/officeDocument/2006/relationships/hyperlink" Target="https://ondemand.tappi.org/?p=5983" TargetMode="External"/><Relationship Id="rId3" Type="http://schemas.openxmlformats.org/officeDocument/2006/relationships/hyperlink" Target="https://www.acma.in/about-us.php" TargetMode="External"/><Relationship Id="rId7" Type="http://schemas.openxmlformats.org/officeDocument/2006/relationships/hyperlink" Target="https://www.towardspackaging.com/insights/india-molded-pulp-packaging-market-sizing" TargetMode="External"/><Relationship Id="rId12" Type="http://schemas.openxmlformats.org/officeDocument/2006/relationships/hyperlink" Target="https://www.paperindex.com/product-details/electronics-auto-goods-packaging/507" TargetMode="External"/><Relationship Id="rId2" Type="http://schemas.openxmlformats.org/officeDocument/2006/relationships/hyperlink" Target="https://static.pib.gov.in/WriteReadData/specificdocs/documents/2026/feb/doc202623777901.pdf" TargetMode="External"/><Relationship Id="rId1" Type="http://schemas.openxmlformats.org/officeDocument/2006/relationships/hyperlink" Target="https://solution.ojiholdings.co.jp/ojipaperpackage/en/" TargetMode="External"/><Relationship Id="rId6" Type="http://schemas.openxmlformats.org/officeDocument/2006/relationships/hyperlink" Target="https://m.indiamart.com/ecologypac" TargetMode="External"/><Relationship Id="rId11" Type="http://schemas.openxmlformats.org/officeDocument/2006/relationships/hyperlink" Target="https://papermart.in/?p=36282" TargetMode="External"/><Relationship Id="rId5" Type="http://schemas.openxmlformats.org/officeDocument/2006/relationships/hyperlink" Target="https://niti.gov.in/sites/default/files/2023-02/Plastics-Alternative-Study_Final_Report_compressed.pdf" TargetMode="External"/><Relationship Id="rId10" Type="http://schemas.openxmlformats.org/officeDocument/2006/relationships/hyperlink" Target="https://m.indiamart.com/pulp2pack/profile.html" TargetMode="External"/><Relationship Id="rId4" Type="http://schemas.openxmlformats.org/officeDocument/2006/relationships/hyperlink" Target="https://eprplastic.cpcb.gov.in/" TargetMode="External"/><Relationship Id="rId9" Type="http://schemas.openxmlformats.org/officeDocument/2006/relationships/hyperlink" Target="https://m.indiamart.com/maspack-limited/packaging-tra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3C52-11AB-4224-AE44-06B547BC255F}">
  <sheetPr codeName="Sheet1"/>
  <dimension ref="A1"/>
  <sheetViews>
    <sheetView workbookViewId="0"/>
  </sheetViews>
  <sheetFormatPr defaultRowHeight="14.4" x14ac:dyDescent="0.3"/>
  <sheetData>
    <row r="1" spans="1:1" x14ac:dyDescent="0.3">
      <c r="A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1462-CB52-4251-BFFF-D44B673AC3D8}">
  <sheetPr codeName="Sheet2"/>
  <dimension ref="A1:B12"/>
  <sheetViews>
    <sheetView zoomScale="70" zoomScaleNormal="70" workbookViewId="0">
      <selection activeCell="A12" sqref="A12"/>
    </sheetView>
  </sheetViews>
  <sheetFormatPr defaultRowHeight="14.4" x14ac:dyDescent="0.3"/>
  <cols>
    <col min="1" max="1" width="87.33203125" customWidth="1"/>
    <col min="2" max="2" width="96.5546875" customWidth="1"/>
  </cols>
  <sheetData>
    <row r="1" spans="1:2" ht="70.8" customHeight="1" x14ac:dyDescent="0.3">
      <c r="A1" s="39" t="s">
        <v>122</v>
      </c>
      <c r="B1" s="38"/>
    </row>
    <row r="3" spans="1:2" ht="51" customHeight="1" x14ac:dyDescent="0.3">
      <c r="A3" s="5" t="s">
        <v>123</v>
      </c>
      <c r="B3" s="6" t="s">
        <v>124</v>
      </c>
    </row>
    <row r="4" spans="1:2" ht="42.6" customHeight="1" x14ac:dyDescent="0.3">
      <c r="A4" s="5" t="s">
        <v>125</v>
      </c>
      <c r="B4" s="6" t="s">
        <v>126</v>
      </c>
    </row>
    <row r="5" spans="1:2" ht="49.8" customHeight="1" x14ac:dyDescent="0.3">
      <c r="A5" s="5" t="s">
        <v>127</v>
      </c>
      <c r="B5" s="6" t="s">
        <v>140</v>
      </c>
    </row>
    <row r="6" spans="1:2" ht="37.200000000000003" customHeight="1" x14ac:dyDescent="0.3">
      <c r="A6" s="5" t="s">
        <v>128</v>
      </c>
      <c r="B6" s="6" t="s">
        <v>139</v>
      </c>
    </row>
    <row r="7" spans="1:2" ht="30" customHeight="1" x14ac:dyDescent="0.3">
      <c r="A7" s="5" t="s">
        <v>129</v>
      </c>
      <c r="B7" s="6" t="s">
        <v>130</v>
      </c>
    </row>
    <row r="8" spans="1:2" ht="27" customHeight="1" x14ac:dyDescent="0.3">
      <c r="A8" s="5" t="s">
        <v>131</v>
      </c>
      <c r="B8" s="6" t="s">
        <v>138</v>
      </c>
    </row>
    <row r="9" spans="1:2" ht="42.6" customHeight="1" x14ac:dyDescent="0.3">
      <c r="A9" s="5" t="s">
        <v>132</v>
      </c>
      <c r="B9" s="6" t="s">
        <v>133</v>
      </c>
    </row>
    <row r="10" spans="1:2" ht="42.6" customHeight="1" x14ac:dyDescent="0.3">
      <c r="A10" s="5" t="s">
        <v>134</v>
      </c>
      <c r="B10" s="6" t="s">
        <v>135</v>
      </c>
    </row>
    <row r="11" spans="1:2" ht="62.4" customHeight="1" x14ac:dyDescent="0.3">
      <c r="A11" s="5" t="s">
        <v>136</v>
      </c>
      <c r="B11" s="6" t="s">
        <v>137</v>
      </c>
    </row>
    <row r="12" spans="1:2" x14ac:dyDescent="0.3">
      <c r="A12" s="7" t="s">
        <v>376</v>
      </c>
      <c r="B12" s="8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70BB1-3EB8-4BCE-90EE-A543B4C4EF3E}">
  <sheetPr codeName="Sheet3"/>
  <dimension ref="A1:K14"/>
  <sheetViews>
    <sheetView topLeftCell="A7" zoomScale="70" zoomScaleNormal="70" workbookViewId="0">
      <selection activeCell="E1" sqref="E1"/>
    </sheetView>
  </sheetViews>
  <sheetFormatPr defaultRowHeight="14.4" x14ac:dyDescent="0.3"/>
  <cols>
    <col min="1" max="1" width="9" bestFit="1" customWidth="1"/>
    <col min="2" max="2" width="57.77734375" bestFit="1" customWidth="1"/>
    <col min="3" max="3" width="101.6640625" bestFit="1" customWidth="1"/>
    <col min="4" max="4" width="86.5546875" bestFit="1" customWidth="1"/>
    <col min="5" max="5" width="21.109375" customWidth="1"/>
    <col min="6" max="6" width="14.88671875" customWidth="1"/>
    <col min="7" max="7" width="204.33203125" bestFit="1" customWidth="1"/>
    <col min="8" max="8" width="18" bestFit="1" customWidth="1"/>
    <col min="9" max="9" width="54.88671875" bestFit="1" customWidth="1"/>
    <col min="10" max="10" width="14" bestFit="1" customWidth="1"/>
    <col min="11" max="11" width="108.66406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2.8" x14ac:dyDescent="0.3">
      <c r="A2" s="6" t="s">
        <v>11</v>
      </c>
      <c r="B2" s="6" t="s">
        <v>39</v>
      </c>
      <c r="C2" s="6" t="s">
        <v>40</v>
      </c>
      <c r="D2" s="36" t="s">
        <v>12</v>
      </c>
      <c r="E2" s="6" t="s">
        <v>13</v>
      </c>
      <c r="F2" s="6" t="s">
        <v>41</v>
      </c>
      <c r="G2" s="6" t="s">
        <v>42</v>
      </c>
      <c r="H2" s="6" t="s">
        <v>43</v>
      </c>
      <c r="I2" s="6" t="s">
        <v>44</v>
      </c>
      <c r="J2" s="37" t="s">
        <v>45</v>
      </c>
      <c r="K2" s="6" t="s">
        <v>46</v>
      </c>
    </row>
    <row r="3" spans="1:11" ht="39.6" x14ac:dyDescent="0.3">
      <c r="A3" s="6" t="s">
        <v>14</v>
      </c>
      <c r="B3" s="6" t="s">
        <v>23</v>
      </c>
      <c r="C3" s="6" t="s">
        <v>47</v>
      </c>
      <c r="D3" s="36" t="s">
        <v>24</v>
      </c>
      <c r="E3" s="6" t="s">
        <v>48</v>
      </c>
      <c r="F3" s="6" t="s">
        <v>41</v>
      </c>
      <c r="G3" s="6" t="s">
        <v>49</v>
      </c>
      <c r="H3" s="6" t="s">
        <v>25</v>
      </c>
      <c r="I3" s="6" t="s">
        <v>26</v>
      </c>
      <c r="J3" s="37" t="s">
        <v>45</v>
      </c>
      <c r="K3" s="6" t="s">
        <v>50</v>
      </c>
    </row>
    <row r="4" spans="1:11" ht="66" x14ac:dyDescent="0.3">
      <c r="A4" s="6" t="s">
        <v>16</v>
      </c>
      <c r="B4" s="6" t="s">
        <v>27</v>
      </c>
      <c r="C4" s="6" t="s">
        <v>51</v>
      </c>
      <c r="D4" s="36" t="s">
        <v>28</v>
      </c>
      <c r="E4" s="6" t="s">
        <v>52</v>
      </c>
      <c r="F4" s="6" t="s">
        <v>41</v>
      </c>
      <c r="G4" s="6" t="s">
        <v>53</v>
      </c>
      <c r="H4" s="6" t="s">
        <v>25</v>
      </c>
      <c r="I4" s="6" t="s">
        <v>29</v>
      </c>
      <c r="J4" s="37" t="s">
        <v>54</v>
      </c>
      <c r="K4" s="6" t="s">
        <v>55</v>
      </c>
    </row>
    <row r="5" spans="1:11" ht="66" x14ac:dyDescent="0.3">
      <c r="A5" s="6" t="s">
        <v>17</v>
      </c>
      <c r="B5" s="6" t="s">
        <v>30</v>
      </c>
      <c r="C5" s="6" t="s">
        <v>56</v>
      </c>
      <c r="D5" s="36" t="s">
        <v>31</v>
      </c>
      <c r="E5" s="6" t="s">
        <v>57</v>
      </c>
      <c r="F5" s="6" t="s">
        <v>41</v>
      </c>
      <c r="G5" s="6" t="s">
        <v>58</v>
      </c>
      <c r="H5" s="6" t="s">
        <v>25</v>
      </c>
      <c r="I5" s="6" t="s">
        <v>32</v>
      </c>
      <c r="J5" s="37" t="s">
        <v>45</v>
      </c>
      <c r="K5" s="6" t="s">
        <v>59</v>
      </c>
    </row>
    <row r="6" spans="1:11" ht="39.6" x14ac:dyDescent="0.3">
      <c r="A6" s="6" t="s">
        <v>18</v>
      </c>
      <c r="B6" s="6" t="s">
        <v>19</v>
      </c>
      <c r="C6" s="6" t="s">
        <v>33</v>
      </c>
      <c r="D6" s="36" t="s">
        <v>34</v>
      </c>
      <c r="E6" s="6" t="s">
        <v>60</v>
      </c>
      <c r="F6" s="6" t="s">
        <v>41</v>
      </c>
      <c r="G6" s="6" t="s">
        <v>61</v>
      </c>
      <c r="H6" s="6" t="s">
        <v>25</v>
      </c>
      <c r="I6" s="6" t="s">
        <v>35</v>
      </c>
      <c r="J6" s="37" t="s">
        <v>54</v>
      </c>
      <c r="K6" s="6" t="s">
        <v>62</v>
      </c>
    </row>
    <row r="7" spans="1:11" ht="39.6" x14ac:dyDescent="0.3">
      <c r="A7" s="6" t="s">
        <v>20</v>
      </c>
      <c r="B7" s="6" t="s">
        <v>21</v>
      </c>
      <c r="C7" s="6" t="s">
        <v>36</v>
      </c>
      <c r="D7" s="36" t="s">
        <v>37</v>
      </c>
      <c r="E7" s="6" t="s">
        <v>13</v>
      </c>
      <c r="F7" s="6" t="s">
        <v>41</v>
      </c>
      <c r="G7" s="6" t="s">
        <v>63</v>
      </c>
      <c r="H7" s="6" t="s">
        <v>22</v>
      </c>
      <c r="I7" s="6" t="s">
        <v>64</v>
      </c>
      <c r="J7" s="37" t="s">
        <v>65</v>
      </c>
      <c r="K7" s="6" t="s">
        <v>66</v>
      </c>
    </row>
    <row r="8" spans="1:11" ht="39.6" x14ac:dyDescent="0.3">
      <c r="A8" s="6" t="s">
        <v>67</v>
      </c>
      <c r="B8" s="6" t="s">
        <v>68</v>
      </c>
      <c r="C8" s="6" t="s">
        <v>69</v>
      </c>
      <c r="D8" s="36" t="s">
        <v>70</v>
      </c>
      <c r="E8" s="6" t="s">
        <v>71</v>
      </c>
      <c r="F8" s="6" t="s">
        <v>41</v>
      </c>
      <c r="G8" s="6" t="s">
        <v>72</v>
      </c>
      <c r="H8" s="6" t="s">
        <v>15</v>
      </c>
      <c r="I8" s="6" t="s">
        <v>73</v>
      </c>
      <c r="J8" s="37" t="s">
        <v>74</v>
      </c>
      <c r="K8" s="6" t="s">
        <v>75</v>
      </c>
    </row>
    <row r="9" spans="1:11" ht="28.8" x14ac:dyDescent="0.3">
      <c r="A9" s="6" t="s">
        <v>76</v>
      </c>
      <c r="B9" s="6" t="s">
        <v>68</v>
      </c>
      <c r="C9" s="6" t="s">
        <v>77</v>
      </c>
      <c r="D9" s="36" t="s">
        <v>78</v>
      </c>
      <c r="E9" s="6" t="s">
        <v>13</v>
      </c>
      <c r="F9" s="6" t="s">
        <v>41</v>
      </c>
      <c r="G9" s="6" t="s">
        <v>79</v>
      </c>
      <c r="H9" s="6" t="s">
        <v>15</v>
      </c>
      <c r="I9" s="6" t="s">
        <v>80</v>
      </c>
      <c r="J9" s="37" t="s">
        <v>74</v>
      </c>
      <c r="K9" s="6" t="s">
        <v>81</v>
      </c>
    </row>
    <row r="10" spans="1:11" ht="26.4" x14ac:dyDescent="0.3">
      <c r="A10" s="6" t="s">
        <v>82</v>
      </c>
      <c r="B10" s="6" t="s">
        <v>83</v>
      </c>
      <c r="C10" s="6" t="s">
        <v>84</v>
      </c>
      <c r="D10" s="36" t="s">
        <v>85</v>
      </c>
      <c r="E10" s="6" t="s">
        <v>13</v>
      </c>
      <c r="F10" s="6" t="s">
        <v>41</v>
      </c>
      <c r="G10" s="6" t="s">
        <v>86</v>
      </c>
      <c r="H10" s="6" t="s">
        <v>87</v>
      </c>
      <c r="I10" s="6" t="s">
        <v>88</v>
      </c>
      <c r="J10" s="37" t="s">
        <v>65</v>
      </c>
      <c r="K10" s="6" t="s">
        <v>89</v>
      </c>
    </row>
    <row r="11" spans="1:11" ht="26.4" x14ac:dyDescent="0.3">
      <c r="A11" s="6" t="s">
        <v>90</v>
      </c>
      <c r="B11" s="6" t="s">
        <v>91</v>
      </c>
      <c r="C11" s="6" t="s">
        <v>92</v>
      </c>
      <c r="D11" s="36" t="s">
        <v>93</v>
      </c>
      <c r="E11" s="6" t="s">
        <v>13</v>
      </c>
      <c r="F11" s="6" t="s">
        <v>41</v>
      </c>
      <c r="G11" s="6" t="s">
        <v>94</v>
      </c>
      <c r="H11" s="6" t="s">
        <v>95</v>
      </c>
      <c r="I11" s="6" t="s">
        <v>38</v>
      </c>
      <c r="J11" s="37" t="s">
        <v>65</v>
      </c>
      <c r="K11" s="6" t="s">
        <v>96</v>
      </c>
    </row>
    <row r="12" spans="1:11" ht="26.4" x14ac:dyDescent="0.3">
      <c r="A12" s="6" t="s">
        <v>97</v>
      </c>
      <c r="B12" s="6" t="s">
        <v>98</v>
      </c>
      <c r="C12" s="6" t="s">
        <v>99</v>
      </c>
      <c r="D12" s="36" t="s">
        <v>100</v>
      </c>
      <c r="E12" s="6" t="s">
        <v>13</v>
      </c>
      <c r="F12" s="6" t="s">
        <v>41</v>
      </c>
      <c r="G12" s="6" t="s">
        <v>101</v>
      </c>
      <c r="H12" s="6" t="s">
        <v>102</v>
      </c>
      <c r="I12" s="6" t="s">
        <v>103</v>
      </c>
      <c r="J12" s="37" t="s">
        <v>65</v>
      </c>
      <c r="K12" s="6" t="s">
        <v>104</v>
      </c>
    </row>
    <row r="13" spans="1:11" ht="26.4" x14ac:dyDescent="0.3">
      <c r="A13" s="6" t="s">
        <v>105</v>
      </c>
      <c r="B13" s="6" t="s">
        <v>106</v>
      </c>
      <c r="C13" s="6" t="s">
        <v>107</v>
      </c>
      <c r="D13" s="36" t="s">
        <v>108</v>
      </c>
      <c r="E13" s="6" t="s">
        <v>13</v>
      </c>
      <c r="F13" s="6" t="s">
        <v>41</v>
      </c>
      <c r="G13" s="6" t="s">
        <v>109</v>
      </c>
      <c r="H13" s="6" t="s">
        <v>110</v>
      </c>
      <c r="I13" s="6" t="s">
        <v>111</v>
      </c>
      <c r="J13" s="37" t="s">
        <v>65</v>
      </c>
      <c r="K13" s="6" t="s">
        <v>112</v>
      </c>
    </row>
    <row r="14" spans="1:11" ht="39.6" x14ac:dyDescent="0.3">
      <c r="A14" s="6" t="s">
        <v>113</v>
      </c>
      <c r="B14" s="6" t="s">
        <v>114</v>
      </c>
      <c r="C14" s="6" t="s">
        <v>115</v>
      </c>
      <c r="D14" s="36" t="s">
        <v>116</v>
      </c>
      <c r="E14" s="6" t="s">
        <v>117</v>
      </c>
      <c r="F14" s="6" t="s">
        <v>41</v>
      </c>
      <c r="G14" s="6" t="s">
        <v>118</v>
      </c>
      <c r="H14" s="6" t="s">
        <v>119</v>
      </c>
      <c r="I14" s="6" t="s">
        <v>120</v>
      </c>
      <c r="J14" s="37" t="s">
        <v>65</v>
      </c>
      <c r="K14" s="6" t="s">
        <v>121</v>
      </c>
    </row>
  </sheetData>
  <hyperlinks>
    <hyperlink ref="D2" r:id="rId1" xr:uid="{8C8153FD-D05F-483F-A7A9-911D1BA9705E}"/>
    <hyperlink ref="D3" r:id="rId2" xr:uid="{7C574E6C-4E6E-4506-B02D-F7619FD905C8}"/>
    <hyperlink ref="D4" r:id="rId3" xr:uid="{7FE95827-5B9F-4540-A197-CBEF6B4BFC3B}"/>
    <hyperlink ref="D5" r:id="rId4" xr:uid="{7BC695A7-1C8E-47D0-BA3F-E31ED1F852E7}"/>
    <hyperlink ref="D6" r:id="rId5" xr:uid="{A1A5CF0A-3BAA-4F01-B16B-126519F24E71}"/>
    <hyperlink ref="D7" r:id="rId6" xr:uid="{FDF3F616-9E25-4012-BD40-575D0C7F8F54}"/>
    <hyperlink ref="D8" r:id="rId7" xr:uid="{9C3DEC76-7420-4D4E-8EBF-5C0AFEECD013}"/>
    <hyperlink ref="D9" r:id="rId8" xr:uid="{E0A97024-7C3D-48BE-8188-E345BE01E845}"/>
    <hyperlink ref="D10" r:id="rId9" xr:uid="{734F7758-BDF4-427F-8E10-82F6EFFC3CE4}"/>
    <hyperlink ref="D11" r:id="rId10" xr:uid="{A0CE071A-42D7-465A-98A7-23DDA7008832}"/>
    <hyperlink ref="D12" r:id="rId11" xr:uid="{AA5D3036-D95F-4B5C-B4D5-3BE1DEE56397}"/>
    <hyperlink ref="D13" r:id="rId12" xr:uid="{030A98F8-45C5-4C4C-817C-891AD525C8B3}"/>
    <hyperlink ref="D14" r:id="rId13" xr:uid="{45F4B04B-7184-4ABB-9B5F-66635132617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2DE0-4A72-40F8-BF44-99F4B77A88D4}">
  <sheetPr codeName="Sheet4"/>
  <dimension ref="A1:J9"/>
  <sheetViews>
    <sheetView zoomScale="85" zoomScaleNormal="85" workbookViewId="0">
      <selection activeCell="E5" sqref="E5"/>
    </sheetView>
  </sheetViews>
  <sheetFormatPr defaultRowHeight="14.4" x14ac:dyDescent="0.3"/>
  <cols>
    <col min="1" max="1" width="6.33203125" customWidth="1"/>
    <col min="2" max="2" width="21.88671875" customWidth="1"/>
    <col min="3" max="3" width="23.5546875" customWidth="1"/>
    <col min="4" max="4" width="31.21875" customWidth="1"/>
    <col min="5" max="5" width="14.77734375" customWidth="1"/>
    <col min="6" max="6" width="37.88671875" customWidth="1"/>
    <col min="7" max="7" width="28.33203125" customWidth="1"/>
    <col min="8" max="8" width="24.6640625" customWidth="1"/>
    <col min="9" max="9" width="9.77734375" bestFit="1" customWidth="1"/>
    <col min="10" max="10" width="24.109375" bestFit="1" customWidth="1"/>
  </cols>
  <sheetData>
    <row r="1" spans="1:10" ht="52.8" x14ac:dyDescent="0.3">
      <c r="A1" s="10" t="s">
        <v>196</v>
      </c>
      <c r="B1" s="10" t="s">
        <v>197</v>
      </c>
      <c r="C1" s="10" t="s">
        <v>198</v>
      </c>
      <c r="D1" s="10" t="s">
        <v>199</v>
      </c>
      <c r="E1" s="10" t="s">
        <v>200</v>
      </c>
      <c r="F1" s="10" t="s">
        <v>201</v>
      </c>
      <c r="G1" s="10" t="s">
        <v>202</v>
      </c>
      <c r="H1" s="10" t="s">
        <v>203</v>
      </c>
      <c r="I1" s="10" t="s">
        <v>0</v>
      </c>
      <c r="J1" s="10" t="s">
        <v>204</v>
      </c>
    </row>
    <row r="2" spans="1:10" ht="70.8" customHeight="1" x14ac:dyDescent="0.3">
      <c r="A2" s="6" t="s">
        <v>141</v>
      </c>
      <c r="B2" s="6" t="s">
        <v>142</v>
      </c>
      <c r="C2" s="6" t="s">
        <v>143</v>
      </c>
      <c r="D2" s="6" t="s">
        <v>144</v>
      </c>
      <c r="E2" s="6" t="s">
        <v>145</v>
      </c>
      <c r="F2" s="6" t="s">
        <v>146</v>
      </c>
      <c r="G2" s="6" t="s">
        <v>205</v>
      </c>
      <c r="H2" s="6" t="s">
        <v>147</v>
      </c>
      <c r="I2" s="6" t="s">
        <v>82</v>
      </c>
      <c r="J2" s="6">
        <v>3</v>
      </c>
    </row>
    <row r="3" spans="1:10" ht="37.200000000000003" customHeight="1" x14ac:dyDescent="0.3">
      <c r="A3" s="6" t="s">
        <v>148</v>
      </c>
      <c r="B3" s="6" t="s">
        <v>149</v>
      </c>
      <c r="C3" s="6" t="s">
        <v>150</v>
      </c>
      <c r="D3" s="6" t="s">
        <v>151</v>
      </c>
      <c r="E3" s="6" t="s">
        <v>152</v>
      </c>
      <c r="F3" s="6" t="s">
        <v>153</v>
      </c>
      <c r="G3" s="6" t="s">
        <v>154</v>
      </c>
      <c r="H3" s="6" t="s">
        <v>155</v>
      </c>
      <c r="I3" s="6" t="s">
        <v>90</v>
      </c>
      <c r="J3" s="6">
        <v>3</v>
      </c>
    </row>
    <row r="4" spans="1:10" ht="48.6" customHeight="1" x14ac:dyDescent="0.3">
      <c r="A4" s="6" t="s">
        <v>156</v>
      </c>
      <c r="B4" s="6" t="s">
        <v>157</v>
      </c>
      <c r="C4" s="6" t="s">
        <v>150</v>
      </c>
      <c r="D4" s="6" t="s">
        <v>110</v>
      </c>
      <c r="E4" s="6" t="s">
        <v>158</v>
      </c>
      <c r="F4" s="6" t="s">
        <v>159</v>
      </c>
      <c r="G4" s="6" t="s">
        <v>160</v>
      </c>
      <c r="H4" s="6" t="s">
        <v>161</v>
      </c>
      <c r="I4" s="6" t="s">
        <v>105</v>
      </c>
      <c r="J4" s="6">
        <v>3</v>
      </c>
    </row>
    <row r="5" spans="1:10" ht="60" customHeight="1" x14ac:dyDescent="0.3">
      <c r="A5" s="6" t="s">
        <v>162</v>
      </c>
      <c r="B5" s="6" t="s">
        <v>21</v>
      </c>
      <c r="C5" s="6" t="s">
        <v>163</v>
      </c>
      <c r="D5" s="6" t="s">
        <v>164</v>
      </c>
      <c r="E5" s="6" t="s">
        <v>165</v>
      </c>
      <c r="F5" s="6" t="s">
        <v>166</v>
      </c>
      <c r="G5" s="6" t="s">
        <v>206</v>
      </c>
      <c r="H5" s="6" t="s">
        <v>167</v>
      </c>
      <c r="I5" s="6" t="s">
        <v>20</v>
      </c>
      <c r="J5" s="6">
        <v>3</v>
      </c>
    </row>
    <row r="6" spans="1:10" ht="44.4" customHeight="1" x14ac:dyDescent="0.3">
      <c r="A6" s="6" t="s">
        <v>168</v>
      </c>
      <c r="B6" s="6" t="s">
        <v>169</v>
      </c>
      <c r="C6" s="6" t="s">
        <v>170</v>
      </c>
      <c r="D6" s="6" t="s">
        <v>15</v>
      </c>
      <c r="E6" s="6" t="s">
        <v>171</v>
      </c>
      <c r="F6" s="6" t="s">
        <v>172</v>
      </c>
      <c r="G6" s="6" t="s">
        <v>207</v>
      </c>
      <c r="H6" s="6" t="s">
        <v>173</v>
      </c>
      <c r="I6" s="6" t="s">
        <v>67</v>
      </c>
      <c r="J6" s="6">
        <v>2</v>
      </c>
    </row>
    <row r="7" spans="1:10" ht="67.2" customHeight="1" x14ac:dyDescent="0.3">
      <c r="A7" s="6" t="s">
        <v>174</v>
      </c>
      <c r="B7" s="6" t="s">
        <v>175</v>
      </c>
      <c r="C7" s="6" t="s">
        <v>176</v>
      </c>
      <c r="D7" s="6" t="s">
        <v>177</v>
      </c>
      <c r="E7" s="6" t="s">
        <v>178</v>
      </c>
      <c r="F7" s="6" t="s">
        <v>179</v>
      </c>
      <c r="G7" s="6" t="s">
        <v>180</v>
      </c>
      <c r="H7" s="6" t="s">
        <v>181</v>
      </c>
      <c r="I7" s="6" t="s">
        <v>67</v>
      </c>
      <c r="J7" s="6">
        <v>2</v>
      </c>
    </row>
    <row r="8" spans="1:10" ht="59.4" customHeight="1" x14ac:dyDescent="0.3">
      <c r="A8" s="6" t="s">
        <v>182</v>
      </c>
      <c r="B8" s="6" t="s">
        <v>183</v>
      </c>
      <c r="C8" s="6" t="s">
        <v>184</v>
      </c>
      <c r="D8" s="6" t="s">
        <v>185</v>
      </c>
      <c r="E8" s="6" t="s">
        <v>186</v>
      </c>
      <c r="F8" s="6" t="s">
        <v>187</v>
      </c>
      <c r="G8" s="6" t="s">
        <v>209</v>
      </c>
      <c r="H8" s="6" t="s">
        <v>188</v>
      </c>
      <c r="I8" s="6" t="s">
        <v>97</v>
      </c>
      <c r="J8" s="6">
        <v>3</v>
      </c>
    </row>
    <row r="9" spans="1:10" ht="74.400000000000006" customHeight="1" x14ac:dyDescent="0.3">
      <c r="A9" s="6" t="s">
        <v>189</v>
      </c>
      <c r="B9" s="6" t="s">
        <v>190</v>
      </c>
      <c r="C9" s="6" t="s">
        <v>191</v>
      </c>
      <c r="D9" s="6" t="s">
        <v>15</v>
      </c>
      <c r="E9" s="6" t="s">
        <v>192</v>
      </c>
      <c r="F9" s="6" t="s">
        <v>193</v>
      </c>
      <c r="G9" s="6" t="s">
        <v>208</v>
      </c>
      <c r="H9" s="6" t="s">
        <v>194</v>
      </c>
      <c r="I9" s="6" t="s">
        <v>195</v>
      </c>
      <c r="J9" s="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E293-44FA-460F-B7B6-F3BA3A1B0757}">
  <sheetPr codeName="Sheet5"/>
  <dimension ref="A1:J23"/>
  <sheetViews>
    <sheetView topLeftCell="A5" zoomScale="55" zoomScaleNormal="55" workbookViewId="0">
      <selection activeCell="G21" sqref="G21"/>
    </sheetView>
  </sheetViews>
  <sheetFormatPr defaultRowHeight="14.4" x14ac:dyDescent="0.3"/>
  <cols>
    <col min="1" max="1" width="46.6640625" customWidth="1"/>
    <col min="2" max="2" width="20.5546875" bestFit="1" customWidth="1"/>
    <col min="3" max="4" width="21.33203125" bestFit="1" customWidth="1"/>
    <col min="5" max="5" width="12.5546875" bestFit="1" customWidth="1"/>
    <col min="6" max="6" width="19.109375" bestFit="1" customWidth="1"/>
    <col min="7" max="7" width="21.44140625" customWidth="1"/>
    <col min="8" max="8" width="22.109375" customWidth="1"/>
    <col min="9" max="9" width="21.77734375" customWidth="1"/>
    <col min="10" max="10" width="24" customWidth="1"/>
  </cols>
  <sheetData>
    <row r="1" spans="1:10" ht="39.6" x14ac:dyDescent="0.3">
      <c r="A1" s="10" t="s">
        <v>210</v>
      </c>
      <c r="B1" s="10" t="s">
        <v>211</v>
      </c>
      <c r="C1" s="10" t="s">
        <v>212</v>
      </c>
      <c r="D1" s="10" t="s">
        <v>213</v>
      </c>
      <c r="E1" s="10" t="s">
        <v>214</v>
      </c>
      <c r="F1" s="10" t="s">
        <v>171</v>
      </c>
      <c r="G1" s="10" t="s">
        <v>215</v>
      </c>
      <c r="H1" s="10" t="s">
        <v>216</v>
      </c>
      <c r="I1" s="10" t="s">
        <v>217</v>
      </c>
      <c r="J1" s="10" t="s">
        <v>218</v>
      </c>
    </row>
    <row r="2" spans="1:10" ht="93.6" customHeight="1" x14ac:dyDescent="0.3">
      <c r="A2" s="6" t="s">
        <v>219</v>
      </c>
      <c r="B2" s="15">
        <v>0.2</v>
      </c>
      <c r="C2" s="15">
        <v>0.3</v>
      </c>
      <c r="D2" s="15">
        <v>0.1</v>
      </c>
      <c r="E2" s="16">
        <v>4</v>
      </c>
      <c r="F2" s="16">
        <v>4</v>
      </c>
      <c r="G2" s="16">
        <v>3</v>
      </c>
      <c r="H2" s="6" t="s">
        <v>220</v>
      </c>
      <c r="I2" s="6" t="s">
        <v>221</v>
      </c>
      <c r="J2" s="6" t="s">
        <v>222</v>
      </c>
    </row>
    <row r="3" spans="1:10" ht="99" customHeight="1" x14ac:dyDescent="0.3">
      <c r="A3" s="6" t="s">
        <v>223</v>
      </c>
      <c r="B3" s="15">
        <v>0.2</v>
      </c>
      <c r="C3" s="15">
        <v>0.2</v>
      </c>
      <c r="D3" s="15">
        <v>0.15</v>
      </c>
      <c r="E3" s="16">
        <v>3</v>
      </c>
      <c r="F3" s="16">
        <v>5</v>
      </c>
      <c r="G3" s="16">
        <v>2</v>
      </c>
      <c r="H3" s="6" t="s">
        <v>224</v>
      </c>
      <c r="I3" s="6" t="s">
        <v>225</v>
      </c>
      <c r="J3" s="6" t="s">
        <v>226</v>
      </c>
    </row>
    <row r="4" spans="1:10" ht="78.599999999999994" customHeight="1" x14ac:dyDescent="0.3">
      <c r="A4" s="6" t="s">
        <v>227</v>
      </c>
      <c r="B4" s="15">
        <v>0.15</v>
      </c>
      <c r="C4" s="15">
        <v>0.1</v>
      </c>
      <c r="D4" s="15">
        <v>0.15</v>
      </c>
      <c r="E4" s="16">
        <v>3</v>
      </c>
      <c r="F4" s="16">
        <v>2</v>
      </c>
      <c r="G4" s="16">
        <v>3</v>
      </c>
      <c r="H4" s="6" t="s">
        <v>228</v>
      </c>
      <c r="I4" s="6" t="s">
        <v>229</v>
      </c>
      <c r="J4" s="6" t="s">
        <v>230</v>
      </c>
    </row>
    <row r="5" spans="1:10" ht="65.400000000000006" customHeight="1" x14ac:dyDescent="0.3">
      <c r="A5" s="6" t="s">
        <v>231</v>
      </c>
      <c r="B5" s="15">
        <v>0.15</v>
      </c>
      <c r="C5" s="15">
        <v>0.1</v>
      </c>
      <c r="D5" s="15">
        <v>0.2</v>
      </c>
      <c r="E5" s="16">
        <v>3</v>
      </c>
      <c r="F5" s="16">
        <v>3</v>
      </c>
      <c r="G5" s="16">
        <v>2</v>
      </c>
      <c r="H5" s="6" t="s">
        <v>232</v>
      </c>
      <c r="I5" s="6" t="s">
        <v>233</v>
      </c>
      <c r="J5" s="6" t="s">
        <v>234</v>
      </c>
    </row>
    <row r="6" spans="1:10" ht="72" customHeight="1" x14ac:dyDescent="0.3">
      <c r="A6" s="6" t="s">
        <v>235</v>
      </c>
      <c r="B6" s="15">
        <v>0.15</v>
      </c>
      <c r="C6" s="15">
        <v>0.15</v>
      </c>
      <c r="D6" s="15">
        <v>0.25</v>
      </c>
      <c r="E6" s="16">
        <v>3</v>
      </c>
      <c r="F6" s="16">
        <v>2</v>
      </c>
      <c r="G6" s="16">
        <v>2</v>
      </c>
      <c r="H6" s="6" t="s">
        <v>236</v>
      </c>
      <c r="I6" s="6" t="s">
        <v>237</v>
      </c>
      <c r="J6" s="6" t="s">
        <v>238</v>
      </c>
    </row>
    <row r="7" spans="1:10" ht="66.599999999999994" customHeight="1" x14ac:dyDescent="0.3">
      <c r="A7" s="6" t="s">
        <v>239</v>
      </c>
      <c r="B7" s="15">
        <v>0.15</v>
      </c>
      <c r="C7" s="15">
        <v>0.15</v>
      </c>
      <c r="D7" s="15">
        <v>0.15</v>
      </c>
      <c r="E7" s="16">
        <v>3</v>
      </c>
      <c r="F7" s="16">
        <v>3</v>
      </c>
      <c r="G7" s="16">
        <v>2</v>
      </c>
      <c r="H7" s="6" t="s">
        <v>240</v>
      </c>
      <c r="I7" s="6" t="s">
        <v>241</v>
      </c>
      <c r="J7" s="6" t="s">
        <v>242</v>
      </c>
    </row>
    <row r="8" spans="1:10" ht="39.6" x14ac:dyDescent="0.3">
      <c r="A8" s="17" t="s">
        <v>243</v>
      </c>
      <c r="B8" s="18">
        <f>SUM(B2:B7)</f>
        <v>1</v>
      </c>
      <c r="C8" s="18">
        <f>SUM(C2:C7)</f>
        <v>1</v>
      </c>
      <c r="D8" s="18">
        <f>SUM(D2:D7)</f>
        <v>1</v>
      </c>
      <c r="E8" s="8"/>
      <c r="F8" s="8"/>
      <c r="G8" s="8"/>
      <c r="H8" s="8"/>
      <c r="I8" s="8"/>
      <c r="J8" s="8"/>
    </row>
    <row r="9" spans="1:10" x14ac:dyDescent="0.3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ht="26.4" x14ac:dyDescent="0.3">
      <c r="A10" s="10" t="s">
        <v>244</v>
      </c>
      <c r="B10" s="10"/>
      <c r="C10" s="10"/>
      <c r="D10" s="10"/>
      <c r="E10" s="10" t="s">
        <v>245</v>
      </c>
      <c r="F10" s="10" t="s">
        <v>171</v>
      </c>
      <c r="G10" s="10" t="s">
        <v>246</v>
      </c>
      <c r="H10" s="10"/>
      <c r="I10" s="10"/>
      <c r="J10" s="10"/>
    </row>
    <row r="11" spans="1:10" x14ac:dyDescent="0.3">
      <c r="A11" s="17" t="s">
        <v>247</v>
      </c>
      <c r="B11" s="17"/>
      <c r="C11" s="17"/>
      <c r="D11" s="17"/>
      <c r="E11" s="19">
        <f>SUMPRODUCT($B$4:$B$9,E$4:E$9)</f>
        <v>1.7999999999999998</v>
      </c>
      <c r="F11" s="19">
        <f>SUMPRODUCT($B$4:$B$9,F$4:F$9)</f>
        <v>1.5</v>
      </c>
      <c r="G11" s="19">
        <f>SUMPRODUCT($B$4:$B$9,G$4:G$9)</f>
        <v>1.35</v>
      </c>
      <c r="H11" s="8"/>
      <c r="I11" s="8"/>
      <c r="J11" s="8"/>
    </row>
    <row r="12" spans="1:10" ht="26.4" x14ac:dyDescent="0.3">
      <c r="A12" s="17" t="s">
        <v>248</v>
      </c>
      <c r="B12" s="17"/>
      <c r="C12" s="17"/>
      <c r="D12" s="17"/>
      <c r="E12" s="19">
        <f>SUMPRODUCT($C$4:$C$9,E$4:E$9)</f>
        <v>1.5</v>
      </c>
      <c r="F12" s="19">
        <f>SUMPRODUCT($C$4:$C$9,F$4:F$9)</f>
        <v>1.25</v>
      </c>
      <c r="G12" s="19">
        <f>SUMPRODUCT($C$4:$C$9,G$4:G$9)</f>
        <v>1.1000000000000001</v>
      </c>
      <c r="H12" s="8"/>
      <c r="I12" s="8"/>
      <c r="J12" s="8"/>
    </row>
    <row r="13" spans="1:10" ht="26.4" x14ac:dyDescent="0.3">
      <c r="A13" s="17" t="s">
        <v>249</v>
      </c>
      <c r="B13" s="17"/>
      <c r="C13" s="17"/>
      <c r="D13" s="17"/>
      <c r="E13" s="19">
        <f>SUMPRODUCT($D$4:$D$9,E$4:E$9)</f>
        <v>2.25</v>
      </c>
      <c r="F13" s="19">
        <f>SUMPRODUCT($D$4:$D$9,F$4:F$9)</f>
        <v>1.85</v>
      </c>
      <c r="G13" s="19">
        <f>SUMPRODUCT($D$4:$D$9,G$4:G$9)</f>
        <v>1.6500000000000001</v>
      </c>
      <c r="H13" s="8"/>
      <c r="I13" s="8"/>
      <c r="J13" s="8"/>
    </row>
    <row r="14" spans="1:10" x14ac:dyDescent="0.3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26.4" x14ac:dyDescent="0.3">
      <c r="A15" s="10" t="s">
        <v>250</v>
      </c>
      <c r="B15" s="10"/>
      <c r="C15" s="10"/>
      <c r="D15" s="10"/>
      <c r="E15" s="10" t="s">
        <v>245</v>
      </c>
      <c r="F15" s="10" t="s">
        <v>171</v>
      </c>
      <c r="G15" s="10" t="s">
        <v>246</v>
      </c>
      <c r="H15" s="10"/>
      <c r="I15" s="10"/>
      <c r="J15" s="10"/>
    </row>
    <row r="16" spans="1:10" x14ac:dyDescent="0.3">
      <c r="A16" s="17" t="s">
        <v>247</v>
      </c>
      <c r="B16" s="17"/>
      <c r="C16" s="17"/>
      <c r="D16" s="17"/>
      <c r="E16" s="20">
        <f t="shared" ref="E16:G18" si="0">RANK(E11,$E11:$G11)</f>
        <v>1</v>
      </c>
      <c r="F16" s="20">
        <f t="shared" si="0"/>
        <v>2</v>
      </c>
      <c r="G16" s="20">
        <f t="shared" si="0"/>
        <v>3</v>
      </c>
      <c r="H16" s="8"/>
      <c r="I16" s="8"/>
      <c r="J16" s="8"/>
    </row>
    <row r="17" spans="1:10" ht="26.4" x14ac:dyDescent="0.3">
      <c r="A17" s="17" t="s">
        <v>248</v>
      </c>
      <c r="B17" s="17"/>
      <c r="C17" s="17"/>
      <c r="D17" s="17"/>
      <c r="E17" s="20">
        <f t="shared" si="0"/>
        <v>1</v>
      </c>
      <c r="F17" s="20">
        <f t="shared" si="0"/>
        <v>2</v>
      </c>
      <c r="G17" s="20">
        <f t="shared" si="0"/>
        <v>3</v>
      </c>
      <c r="H17" s="8"/>
      <c r="I17" s="8"/>
      <c r="J17" s="8"/>
    </row>
    <row r="18" spans="1:10" ht="26.4" x14ac:dyDescent="0.3">
      <c r="A18" s="17" t="s">
        <v>249</v>
      </c>
      <c r="B18" s="17"/>
      <c r="C18" s="17"/>
      <c r="D18" s="17"/>
      <c r="E18" s="20">
        <f t="shared" si="0"/>
        <v>1</v>
      </c>
      <c r="F18" s="20">
        <f t="shared" si="0"/>
        <v>2</v>
      </c>
      <c r="G18" s="20">
        <f t="shared" si="0"/>
        <v>3</v>
      </c>
      <c r="H18" s="8"/>
      <c r="I18" s="8"/>
      <c r="J18" s="8"/>
    </row>
    <row r="19" spans="1:10" x14ac:dyDescent="0.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ht="39.6" x14ac:dyDescent="0.3">
      <c r="A20" s="17" t="s">
        <v>251</v>
      </c>
      <c r="B20" s="17"/>
      <c r="C20" s="17"/>
      <c r="D20" s="17"/>
      <c r="E20" s="17">
        <f>INDEX($E$3:$G$3,MATCH(MAX(E11:G11),E11:G11,0))</f>
        <v>3</v>
      </c>
      <c r="F20" s="35"/>
      <c r="G20" s="35"/>
      <c r="H20" s="35"/>
      <c r="I20" s="35"/>
      <c r="J20" s="35"/>
    </row>
    <row r="21" spans="1:10" ht="39.6" x14ac:dyDescent="0.3">
      <c r="A21" s="17" t="s">
        <v>252</v>
      </c>
      <c r="B21" s="17"/>
      <c r="C21" s="17"/>
      <c r="D21" s="17"/>
      <c r="E21" s="21">
        <f>LARGE(E11:G11,1)-LARGE(E11:G11,2)</f>
        <v>0.29999999999999982</v>
      </c>
      <c r="F21" s="35"/>
      <c r="G21" s="35"/>
      <c r="H21" s="35"/>
      <c r="I21" s="35"/>
      <c r="J21" s="35"/>
    </row>
    <row r="22" spans="1:10" ht="39.6" x14ac:dyDescent="0.3">
      <c r="A22" s="17" t="s">
        <v>253</v>
      </c>
      <c r="B22" s="17"/>
      <c r="C22" s="17"/>
      <c r="D22" s="17"/>
      <c r="E22" s="17">
        <f>INDEX($E$3:$G$3,MATCH(MAX(E12:G12),E12:G12,0))</f>
        <v>3</v>
      </c>
      <c r="F22" s="35"/>
      <c r="G22" s="35"/>
      <c r="H22" s="35"/>
      <c r="I22" s="35"/>
      <c r="J22" s="35"/>
    </row>
    <row r="23" spans="1:10" ht="52.8" x14ac:dyDescent="0.3">
      <c r="A23" s="17" t="s">
        <v>254</v>
      </c>
      <c r="B23" s="17"/>
      <c r="C23" s="17"/>
      <c r="D23" s="17"/>
      <c r="E23" s="17">
        <f>INDEX($E$3:$G$3,MATCH(MAX(E13:G13),E13:G13,0))</f>
        <v>3</v>
      </c>
      <c r="F23" s="35"/>
      <c r="G23" s="35"/>
      <c r="H23" s="35"/>
      <c r="I23" s="35"/>
      <c r="J23" s="3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F87F-462B-440B-AB5D-C1AEC9F9DEF4}">
  <sheetPr codeName="Sheet6"/>
  <dimension ref="A1:F44"/>
  <sheetViews>
    <sheetView topLeftCell="A31" zoomScale="85" zoomScaleNormal="85" workbookViewId="0">
      <selection activeCell="A22" sqref="A22"/>
    </sheetView>
  </sheetViews>
  <sheetFormatPr defaultRowHeight="14.4" x14ac:dyDescent="0.3"/>
  <cols>
    <col min="1" max="1" width="42.109375" customWidth="1"/>
    <col min="2" max="2" width="18.88671875" customWidth="1"/>
    <col min="3" max="3" width="10.44140625" customWidth="1"/>
    <col min="4" max="4" width="6.21875" bestFit="1" customWidth="1"/>
    <col min="5" max="5" width="31.33203125" customWidth="1"/>
    <col min="6" max="6" width="13.21875" customWidth="1"/>
  </cols>
  <sheetData>
    <row r="1" spans="1:6" ht="17.399999999999999" x14ac:dyDescent="0.3">
      <c r="A1" s="4" t="s">
        <v>255</v>
      </c>
    </row>
    <row r="3" spans="1:6" x14ac:dyDescent="0.3">
      <c r="A3" s="9" t="s">
        <v>256</v>
      </c>
      <c r="B3" s="9" t="s">
        <v>257</v>
      </c>
      <c r="C3" s="9" t="s">
        <v>199</v>
      </c>
      <c r="D3" s="9" t="s">
        <v>258</v>
      </c>
      <c r="E3" s="9" t="s">
        <v>259</v>
      </c>
      <c r="F3" s="9" t="s">
        <v>198</v>
      </c>
    </row>
    <row r="4" spans="1:6" ht="26.4" x14ac:dyDescent="0.3">
      <c r="A4" s="3" t="s">
        <v>260</v>
      </c>
      <c r="B4" s="22">
        <v>291</v>
      </c>
      <c r="C4" s="22">
        <v>291</v>
      </c>
      <c r="D4" s="22">
        <v>291</v>
      </c>
      <c r="E4" s="3" t="s">
        <v>261</v>
      </c>
      <c r="F4" s="3" t="s">
        <v>262</v>
      </c>
    </row>
    <row r="5" spans="1:6" ht="26.4" x14ac:dyDescent="0.3">
      <c r="A5" s="3" t="s">
        <v>263</v>
      </c>
      <c r="B5" s="23">
        <v>7.3999999999999996E-2</v>
      </c>
      <c r="C5" s="23">
        <v>9.5000000000000001E-2</v>
      </c>
      <c r="D5" s="24">
        <v>0.11</v>
      </c>
      <c r="E5" s="3" t="s">
        <v>264</v>
      </c>
      <c r="F5" s="3" t="s">
        <v>265</v>
      </c>
    </row>
    <row r="6" spans="1:6" ht="26.4" x14ac:dyDescent="0.3">
      <c r="A6" s="3" t="s">
        <v>266</v>
      </c>
      <c r="B6" s="25">
        <v>3</v>
      </c>
      <c r="C6" s="25">
        <v>3</v>
      </c>
      <c r="D6" s="25">
        <v>3</v>
      </c>
      <c r="E6" s="3" t="s">
        <v>267</v>
      </c>
      <c r="F6" s="3" t="s">
        <v>268</v>
      </c>
    </row>
    <row r="7" spans="1:6" ht="26.4" x14ac:dyDescent="0.3">
      <c r="A7" s="3" t="s">
        <v>269</v>
      </c>
      <c r="B7" s="26">
        <f>7600000000000/85900000000</f>
        <v>88.474970896391156</v>
      </c>
      <c r="C7" s="26">
        <f>B7</f>
        <v>88.474970896391156</v>
      </c>
      <c r="D7" s="26">
        <f>B7</f>
        <v>88.474970896391156</v>
      </c>
      <c r="E7" s="3" t="s">
        <v>270</v>
      </c>
      <c r="F7" s="3" t="s">
        <v>271</v>
      </c>
    </row>
    <row r="9" spans="1:6" x14ac:dyDescent="0.3">
      <c r="A9" s="34" t="s">
        <v>272</v>
      </c>
    </row>
    <row r="10" spans="1:6" ht="26.4" x14ac:dyDescent="0.3">
      <c r="A10" s="3" t="s">
        <v>273</v>
      </c>
      <c r="B10" s="27">
        <v>0.42</v>
      </c>
      <c r="C10" s="28">
        <v>0.52</v>
      </c>
      <c r="D10" s="27">
        <v>0.62</v>
      </c>
      <c r="E10" s="3" t="s">
        <v>274</v>
      </c>
      <c r="F10" s="3" t="s">
        <v>265</v>
      </c>
    </row>
    <row r="11" spans="1:6" ht="52.8" x14ac:dyDescent="0.3">
      <c r="A11" s="3" t="s">
        <v>275</v>
      </c>
      <c r="B11" s="11">
        <v>0.02</v>
      </c>
      <c r="C11" s="11">
        <v>0.05</v>
      </c>
      <c r="D11" s="11">
        <v>0.08</v>
      </c>
      <c r="E11" s="3" t="s">
        <v>276</v>
      </c>
      <c r="F11" s="3" t="s">
        <v>277</v>
      </c>
    </row>
    <row r="12" spans="1:6" ht="52.8" x14ac:dyDescent="0.3">
      <c r="A12" s="3" t="s">
        <v>278</v>
      </c>
      <c r="B12" s="11">
        <v>0.1</v>
      </c>
      <c r="C12" s="11"/>
      <c r="D12" s="11"/>
      <c r="E12" s="3" t="s">
        <v>279</v>
      </c>
      <c r="F12" s="3" t="s">
        <v>277</v>
      </c>
    </row>
    <row r="13" spans="1:6" ht="26.4" x14ac:dyDescent="0.3">
      <c r="A13" s="3" t="s">
        <v>280</v>
      </c>
      <c r="B13" s="3"/>
      <c r="C13" s="3"/>
      <c r="D13" s="22">
        <v>170</v>
      </c>
      <c r="E13" s="3" t="s">
        <v>281</v>
      </c>
      <c r="F13" s="3" t="s">
        <v>262</v>
      </c>
    </row>
    <row r="15" spans="1:6" x14ac:dyDescent="0.3">
      <c r="A15" s="12" t="s">
        <v>282</v>
      </c>
    </row>
    <row r="16" spans="1:6" x14ac:dyDescent="0.3">
      <c r="A16" s="9" t="s">
        <v>283</v>
      </c>
      <c r="B16" s="9" t="s">
        <v>257</v>
      </c>
      <c r="C16" s="9" t="s">
        <v>199</v>
      </c>
      <c r="D16" s="9" t="s">
        <v>258</v>
      </c>
      <c r="E16" s="9" t="s">
        <v>127</v>
      </c>
      <c r="F16" s="9"/>
    </row>
    <row r="17" spans="1:6" ht="26.4" x14ac:dyDescent="0.3">
      <c r="A17" s="3" t="s">
        <v>245</v>
      </c>
      <c r="B17" s="26">
        <f>B4*B12</f>
        <v>29.1</v>
      </c>
      <c r="C17" s="26">
        <f>AVERAGE(B17,D17)</f>
        <v>99.55</v>
      </c>
      <c r="D17" s="26">
        <f>D13</f>
        <v>170</v>
      </c>
      <c r="E17" s="3" t="s">
        <v>284</v>
      </c>
      <c r="F17" s="3"/>
    </row>
    <row r="18" spans="1:6" x14ac:dyDescent="0.3">
      <c r="A18" s="3" t="s">
        <v>171</v>
      </c>
      <c r="B18" s="26">
        <f>B4*B10</f>
        <v>122.22</v>
      </c>
      <c r="C18" s="26">
        <f>C4*C10</f>
        <v>151.32</v>
      </c>
      <c r="D18" s="26">
        <f>D4*D10</f>
        <v>180.42</v>
      </c>
      <c r="E18" s="3" t="s">
        <v>285</v>
      </c>
      <c r="F18" s="3"/>
    </row>
    <row r="19" spans="1:6" x14ac:dyDescent="0.3">
      <c r="A19" s="3" t="s">
        <v>286</v>
      </c>
      <c r="B19" s="26">
        <f>B4*B11</f>
        <v>5.82</v>
      </c>
      <c r="C19" s="26">
        <f>C4*C11</f>
        <v>14.55</v>
      </c>
      <c r="D19" s="26">
        <f>D4*D11</f>
        <v>23.28</v>
      </c>
      <c r="E19" s="3" t="s">
        <v>287</v>
      </c>
      <c r="F19" s="3"/>
    </row>
    <row r="20" spans="1:6" ht="39.6" x14ac:dyDescent="0.3">
      <c r="A20" s="12" t="s">
        <v>288</v>
      </c>
      <c r="B20" s="13">
        <f>SUM(B17:B19)/B4</f>
        <v>0.53999999999999992</v>
      </c>
      <c r="C20" s="13">
        <f>SUM(C17:C19)/C4</f>
        <v>0.91209621993127155</v>
      </c>
      <c r="D20" s="13">
        <f>SUM(D17:D19)/D4</f>
        <v>1.2841924398625426</v>
      </c>
      <c r="E20" s="12" t="s">
        <v>289</v>
      </c>
      <c r="F20" s="12"/>
    </row>
    <row r="22" spans="1:6" ht="26.4" x14ac:dyDescent="0.3">
      <c r="A22" s="34" t="s">
        <v>290</v>
      </c>
    </row>
    <row r="23" spans="1:6" ht="52.8" x14ac:dyDescent="0.3">
      <c r="A23" s="3" t="s">
        <v>291</v>
      </c>
      <c r="B23" s="11">
        <v>0.1</v>
      </c>
      <c r="C23" s="11">
        <v>0.15</v>
      </c>
      <c r="D23" s="11">
        <v>0.2</v>
      </c>
      <c r="E23" s="3" t="s">
        <v>292</v>
      </c>
      <c r="F23" s="3" t="s">
        <v>277</v>
      </c>
    </row>
    <row r="24" spans="1:6" ht="92.4" x14ac:dyDescent="0.3">
      <c r="A24" s="3" t="s">
        <v>293</v>
      </c>
      <c r="B24" s="11">
        <v>0.01</v>
      </c>
      <c r="C24" s="11">
        <v>0.02</v>
      </c>
      <c r="D24" s="11">
        <v>0.04</v>
      </c>
      <c r="E24" s="3" t="s">
        <v>294</v>
      </c>
      <c r="F24" s="3" t="s">
        <v>277</v>
      </c>
    </row>
    <row r="26" spans="1:6" ht="26.4" x14ac:dyDescent="0.3">
      <c r="A26" s="9" t="s">
        <v>295</v>
      </c>
      <c r="B26" s="9" t="s">
        <v>257</v>
      </c>
      <c r="C26" s="9" t="s">
        <v>199</v>
      </c>
      <c r="D26" s="9" t="s">
        <v>258</v>
      </c>
      <c r="E26" s="9" t="s">
        <v>296</v>
      </c>
      <c r="F26" s="9"/>
    </row>
    <row r="27" spans="1:6" x14ac:dyDescent="0.3">
      <c r="A27" s="3" t="s">
        <v>245</v>
      </c>
      <c r="B27" s="26">
        <f t="shared" ref="B27:D29" si="0">B17*(1+B$5)^B$6</f>
        <v>36.050046818400006</v>
      </c>
      <c r="C27" s="26">
        <f t="shared" si="0"/>
        <v>130.70241793124998</v>
      </c>
      <c r="D27" s="26">
        <f t="shared" si="0"/>
        <v>232.49727000000004</v>
      </c>
      <c r="E27" s="3"/>
      <c r="F27" s="3"/>
    </row>
    <row r="28" spans="1:6" x14ac:dyDescent="0.3">
      <c r="A28" s="3" t="s">
        <v>171</v>
      </c>
      <c r="B28" s="26">
        <f t="shared" si="0"/>
        <v>151.41019663728002</v>
      </c>
      <c r="C28" s="26">
        <f t="shared" si="0"/>
        <v>198.67292698499998</v>
      </c>
      <c r="D28" s="26">
        <f t="shared" si="0"/>
        <v>246.74798502000004</v>
      </c>
      <c r="E28" s="3"/>
      <c r="F28" s="3"/>
    </row>
    <row r="29" spans="1:6" x14ac:dyDescent="0.3">
      <c r="A29" s="3" t="s">
        <v>286</v>
      </c>
      <c r="B29" s="26">
        <f t="shared" si="0"/>
        <v>7.2100093636800011</v>
      </c>
      <c r="C29" s="26">
        <f t="shared" si="0"/>
        <v>19.10316605625</v>
      </c>
      <c r="D29" s="26">
        <f t="shared" si="0"/>
        <v>31.838449680000007</v>
      </c>
      <c r="E29" s="3"/>
      <c r="F29" s="3"/>
    </row>
    <row r="31" spans="1:6" ht="26.4" x14ac:dyDescent="0.3">
      <c r="A31" s="9" t="s">
        <v>297</v>
      </c>
      <c r="B31" s="9" t="s">
        <v>257</v>
      </c>
      <c r="C31" s="9" t="s">
        <v>199</v>
      </c>
      <c r="D31" s="9" t="s">
        <v>258</v>
      </c>
      <c r="E31" s="9" t="s">
        <v>298</v>
      </c>
      <c r="F31" s="9"/>
    </row>
    <row r="32" spans="1:6" x14ac:dyDescent="0.3">
      <c r="A32" s="3" t="s">
        <v>245</v>
      </c>
      <c r="B32" s="26">
        <f t="shared" ref="B32:D34" si="1">B27*B$23</f>
        <v>3.6050046818400006</v>
      </c>
      <c r="C32" s="26">
        <f t="shared" si="1"/>
        <v>19.605362689687496</v>
      </c>
      <c r="D32" s="26">
        <f t="shared" si="1"/>
        <v>46.499454000000014</v>
      </c>
      <c r="E32" s="3"/>
      <c r="F32" s="3"/>
    </row>
    <row r="33" spans="1:6" x14ac:dyDescent="0.3">
      <c r="A33" s="3" t="s">
        <v>171</v>
      </c>
      <c r="B33" s="26">
        <f t="shared" si="1"/>
        <v>15.141019663728002</v>
      </c>
      <c r="C33" s="26">
        <f t="shared" si="1"/>
        <v>29.800939047749996</v>
      </c>
      <c r="D33" s="26">
        <f t="shared" si="1"/>
        <v>49.34959700400001</v>
      </c>
      <c r="E33" s="3"/>
      <c r="F33" s="3"/>
    </row>
    <row r="34" spans="1:6" x14ac:dyDescent="0.3">
      <c r="A34" s="3" t="s">
        <v>286</v>
      </c>
      <c r="B34" s="26">
        <f t="shared" si="1"/>
        <v>0.72100093636800011</v>
      </c>
      <c r="C34" s="26">
        <f t="shared" si="1"/>
        <v>2.8654749084374997</v>
      </c>
      <c r="D34" s="26">
        <f t="shared" si="1"/>
        <v>6.3676899360000014</v>
      </c>
      <c r="E34" s="3"/>
      <c r="F34" s="3"/>
    </row>
    <row r="36" spans="1:6" x14ac:dyDescent="0.3">
      <c r="A36" s="9" t="s">
        <v>299</v>
      </c>
      <c r="B36" s="9" t="s">
        <v>257</v>
      </c>
      <c r="C36" s="9" t="s">
        <v>199</v>
      </c>
      <c r="D36" s="9" t="s">
        <v>258</v>
      </c>
      <c r="E36" s="9" t="s">
        <v>300</v>
      </c>
      <c r="F36" s="9"/>
    </row>
    <row r="37" spans="1:6" x14ac:dyDescent="0.3">
      <c r="A37" s="3" t="s">
        <v>245</v>
      </c>
      <c r="B37" s="29">
        <f t="shared" ref="B37:D39" si="2">B32*B$24</f>
        <v>3.605004681840001E-2</v>
      </c>
      <c r="C37" s="29">
        <f t="shared" si="2"/>
        <v>0.39210725379374994</v>
      </c>
      <c r="D37" s="29">
        <f t="shared" si="2"/>
        <v>1.8599781600000007</v>
      </c>
      <c r="E37" s="3"/>
      <c r="F37" s="3"/>
    </row>
    <row r="38" spans="1:6" x14ac:dyDescent="0.3">
      <c r="A38" s="3" t="s">
        <v>171</v>
      </c>
      <c r="B38" s="29">
        <f t="shared" si="2"/>
        <v>0.15141019663728003</v>
      </c>
      <c r="C38" s="29">
        <f t="shared" si="2"/>
        <v>0.59601878095499994</v>
      </c>
      <c r="D38" s="29">
        <f t="shared" si="2"/>
        <v>1.9739838801600005</v>
      </c>
      <c r="E38" s="3"/>
      <c r="F38" s="3"/>
    </row>
    <row r="39" spans="1:6" x14ac:dyDescent="0.3">
      <c r="A39" s="3" t="s">
        <v>286</v>
      </c>
      <c r="B39" s="29">
        <f t="shared" si="2"/>
        <v>7.2100093636800009E-3</v>
      </c>
      <c r="C39" s="29">
        <f t="shared" si="2"/>
        <v>5.7309498168749994E-2</v>
      </c>
      <c r="D39" s="29">
        <f t="shared" si="2"/>
        <v>0.25470759744000004</v>
      </c>
      <c r="E39" s="3"/>
      <c r="F39" s="3"/>
    </row>
    <row r="41" spans="1:6" ht="26.4" x14ac:dyDescent="0.3">
      <c r="A41" s="9" t="s">
        <v>301</v>
      </c>
      <c r="B41" s="9" t="s">
        <v>257</v>
      </c>
      <c r="C41" s="9" t="s">
        <v>199</v>
      </c>
      <c r="D41" s="9" t="s">
        <v>258</v>
      </c>
      <c r="E41" s="9" t="s">
        <v>302</v>
      </c>
      <c r="F41" s="9"/>
    </row>
    <row r="42" spans="1:6" x14ac:dyDescent="0.3">
      <c r="A42" s="3" t="s">
        <v>245</v>
      </c>
      <c r="B42" s="26">
        <f t="shared" ref="B42:D44" si="3">B37*B$7/10</f>
        <v>0.31895268430714796</v>
      </c>
      <c r="C42" s="26">
        <f t="shared" si="3"/>
        <v>3.4691677867665889</v>
      </c>
      <c r="D42" s="26">
        <f t="shared" si="3"/>
        <v>16.456151357392322</v>
      </c>
      <c r="E42" s="3"/>
      <c r="F42" s="3"/>
    </row>
    <row r="43" spans="1:6" x14ac:dyDescent="0.3">
      <c r="A43" s="3" t="s">
        <v>171</v>
      </c>
      <c r="B43" s="26">
        <f t="shared" si="3"/>
        <v>1.3396012740900214</v>
      </c>
      <c r="C43" s="26">
        <f t="shared" si="3"/>
        <v>5.2732744298696153</v>
      </c>
      <c r="D43" s="26">
        <f t="shared" si="3"/>
        <v>17.464816634710132</v>
      </c>
      <c r="E43" s="3"/>
      <c r="F43" s="3"/>
    </row>
    <row r="44" spans="1:6" x14ac:dyDescent="0.3">
      <c r="A44" s="3" t="s">
        <v>286</v>
      </c>
      <c r="B44" s="26">
        <f t="shared" si="3"/>
        <v>6.3790536861429575E-2</v>
      </c>
      <c r="C44" s="26">
        <f t="shared" si="3"/>
        <v>0.50704561825669381</v>
      </c>
      <c r="D44" s="26">
        <f t="shared" si="3"/>
        <v>2.2535247270593719</v>
      </c>
      <c r="E44" s="3"/>
      <c r="F44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F6F0-59EF-4C90-8D25-6747C8FAF0FE}">
  <sheetPr codeName="Sheet7"/>
  <dimension ref="A1:F28"/>
  <sheetViews>
    <sheetView tabSelected="1" topLeftCell="A18" workbookViewId="0">
      <selection activeCell="E27" sqref="E27"/>
    </sheetView>
  </sheetViews>
  <sheetFormatPr defaultRowHeight="14.4" x14ac:dyDescent="0.3"/>
  <cols>
    <col min="1" max="1" width="22.5546875" customWidth="1"/>
    <col min="2" max="2" width="23.6640625" customWidth="1"/>
    <col min="3" max="3" width="26.109375" customWidth="1"/>
    <col min="4" max="4" width="17.33203125" bestFit="1" customWidth="1"/>
    <col min="5" max="5" width="27.33203125" customWidth="1"/>
    <col min="6" max="6" width="29.6640625" customWidth="1"/>
  </cols>
  <sheetData>
    <row r="1" spans="1:6" x14ac:dyDescent="0.3">
      <c r="A1" s="33" t="s">
        <v>374</v>
      </c>
      <c r="B1" s="33" t="s">
        <v>303</v>
      </c>
      <c r="C1" s="33" t="s">
        <v>304</v>
      </c>
      <c r="D1" s="33" t="s">
        <v>305</v>
      </c>
      <c r="E1" s="33" t="s">
        <v>306</v>
      </c>
      <c r="F1" s="33" t="s">
        <v>307</v>
      </c>
    </row>
    <row r="2" spans="1:6" ht="52.8" x14ac:dyDescent="0.3">
      <c r="A2" s="40">
        <v>1</v>
      </c>
      <c r="B2" s="6" t="s">
        <v>308</v>
      </c>
      <c r="C2" s="6" t="s">
        <v>258</v>
      </c>
      <c r="D2" s="6" t="s">
        <v>258</v>
      </c>
      <c r="E2" s="6" t="s">
        <v>309</v>
      </c>
      <c r="F2" s="6" t="s">
        <v>310</v>
      </c>
    </row>
    <row r="3" spans="1:6" ht="39.6" x14ac:dyDescent="0.3">
      <c r="A3" s="40">
        <v>2</v>
      </c>
      <c r="B3" s="6" t="s">
        <v>311</v>
      </c>
      <c r="C3" s="6" t="s">
        <v>258</v>
      </c>
      <c r="D3" s="6" t="s">
        <v>258</v>
      </c>
      <c r="E3" s="6" t="s">
        <v>373</v>
      </c>
      <c r="F3" s="6" t="s">
        <v>312</v>
      </c>
    </row>
    <row r="4" spans="1:6" ht="52.8" x14ac:dyDescent="0.3">
      <c r="A4" s="40">
        <v>3</v>
      </c>
      <c r="B4" s="6" t="s">
        <v>313</v>
      </c>
      <c r="C4" s="6" t="s">
        <v>314</v>
      </c>
      <c r="D4" s="6" t="s">
        <v>315</v>
      </c>
      <c r="E4" s="6" t="s">
        <v>316</v>
      </c>
      <c r="F4" s="6" t="s">
        <v>317</v>
      </c>
    </row>
    <row r="5" spans="1:6" ht="79.2" x14ac:dyDescent="0.3">
      <c r="A5" s="40">
        <v>4</v>
      </c>
      <c r="B5" s="6" t="s">
        <v>318</v>
      </c>
      <c r="C5" s="6" t="s">
        <v>315</v>
      </c>
      <c r="D5" s="6" t="s">
        <v>258</v>
      </c>
      <c r="E5" s="6" t="s">
        <v>319</v>
      </c>
      <c r="F5" s="6" t="s">
        <v>320</v>
      </c>
    </row>
    <row r="6" spans="1:6" ht="39.6" x14ac:dyDescent="0.3">
      <c r="A6" s="40">
        <v>5</v>
      </c>
      <c r="B6" s="6" t="s">
        <v>321</v>
      </c>
      <c r="C6" s="6" t="s">
        <v>315</v>
      </c>
      <c r="D6" s="6" t="s">
        <v>315</v>
      </c>
      <c r="E6" s="6" t="s">
        <v>322</v>
      </c>
      <c r="F6" s="6" t="s">
        <v>323</v>
      </c>
    </row>
    <row r="7" spans="1:6" ht="39.6" x14ac:dyDescent="0.3">
      <c r="A7" s="40">
        <v>6</v>
      </c>
      <c r="B7" s="6" t="s">
        <v>324</v>
      </c>
      <c r="C7" s="6" t="s">
        <v>315</v>
      </c>
      <c r="D7" s="6" t="s">
        <v>258</v>
      </c>
      <c r="E7" s="6" t="s">
        <v>325</v>
      </c>
      <c r="F7" s="6" t="s">
        <v>326</v>
      </c>
    </row>
    <row r="8" spans="1:6" ht="66" x14ac:dyDescent="0.3">
      <c r="A8" s="40">
        <v>7</v>
      </c>
      <c r="B8" s="6" t="s">
        <v>327</v>
      </c>
      <c r="C8" s="6" t="s">
        <v>257</v>
      </c>
      <c r="D8" s="6" t="s">
        <v>258</v>
      </c>
      <c r="E8" s="6" t="s">
        <v>328</v>
      </c>
      <c r="F8" s="6" t="s">
        <v>329</v>
      </c>
    </row>
    <row r="9" spans="1:6" ht="26.4" x14ac:dyDescent="0.3">
      <c r="A9" s="40">
        <v>8</v>
      </c>
      <c r="B9" s="6" t="s">
        <v>330</v>
      </c>
      <c r="C9" s="6" t="s">
        <v>314</v>
      </c>
      <c r="D9" s="6" t="s">
        <v>315</v>
      </c>
      <c r="E9" s="6" t="s">
        <v>375</v>
      </c>
      <c r="F9" s="6" t="s">
        <v>331</v>
      </c>
    </row>
    <row r="11" spans="1:6" x14ac:dyDescent="0.3">
      <c r="A11" s="30" t="s">
        <v>332</v>
      </c>
    </row>
    <row r="12" spans="1:6" x14ac:dyDescent="0.3">
      <c r="A12" s="33" t="s">
        <v>196</v>
      </c>
      <c r="B12" s="33" t="s">
        <v>333</v>
      </c>
      <c r="C12" s="33" t="s">
        <v>334</v>
      </c>
      <c r="D12" s="33" t="s">
        <v>335</v>
      </c>
      <c r="E12" s="33" t="s">
        <v>336</v>
      </c>
      <c r="F12" s="33" t="s">
        <v>337</v>
      </c>
    </row>
    <row r="13" spans="1:6" ht="92.4" x14ac:dyDescent="0.3">
      <c r="A13" s="41" t="s">
        <v>338</v>
      </c>
      <c r="B13" s="6" t="s">
        <v>339</v>
      </c>
      <c r="C13" s="6" t="s">
        <v>340</v>
      </c>
      <c r="D13" s="6" t="s">
        <v>341</v>
      </c>
      <c r="E13" s="6" t="s">
        <v>342</v>
      </c>
      <c r="F13" s="6" t="s">
        <v>343</v>
      </c>
    </row>
    <row r="14" spans="1:6" ht="52.8" x14ac:dyDescent="0.3">
      <c r="A14" s="41" t="s">
        <v>344</v>
      </c>
      <c r="B14" s="6" t="s">
        <v>345</v>
      </c>
      <c r="C14" s="6" t="s">
        <v>346</v>
      </c>
      <c r="D14" s="6" t="s">
        <v>347</v>
      </c>
      <c r="E14" s="6" t="s">
        <v>348</v>
      </c>
      <c r="F14" s="6" t="s">
        <v>349</v>
      </c>
    </row>
    <row r="15" spans="1:6" ht="66" x14ac:dyDescent="0.3">
      <c r="A15" s="41" t="s">
        <v>350</v>
      </c>
      <c r="B15" s="6" t="s">
        <v>351</v>
      </c>
      <c r="C15" s="6" t="s">
        <v>352</v>
      </c>
      <c r="D15" s="6" t="s">
        <v>353</v>
      </c>
      <c r="E15" s="6" t="s">
        <v>354</v>
      </c>
      <c r="F15" s="6" t="s">
        <v>349</v>
      </c>
    </row>
    <row r="16" spans="1:6" ht="39.6" x14ac:dyDescent="0.3">
      <c r="A16" s="41" t="s">
        <v>355</v>
      </c>
      <c r="B16" s="6" t="s">
        <v>356</v>
      </c>
      <c r="C16" s="6" t="s">
        <v>357</v>
      </c>
      <c r="D16" s="6" t="s">
        <v>358</v>
      </c>
      <c r="E16" s="6" t="s">
        <v>359</v>
      </c>
      <c r="F16" s="6" t="s">
        <v>360</v>
      </c>
    </row>
    <row r="19" spans="1:6" x14ac:dyDescent="0.3">
      <c r="A19" s="30" t="s">
        <v>361</v>
      </c>
    </row>
    <row r="20" spans="1:6" x14ac:dyDescent="0.3">
      <c r="A20" s="9" t="s">
        <v>362</v>
      </c>
      <c r="B20" s="9" t="s">
        <v>363</v>
      </c>
      <c r="C20" s="9" t="s">
        <v>364</v>
      </c>
      <c r="D20" s="9"/>
      <c r="E20" s="9"/>
      <c r="F20" s="9"/>
    </row>
    <row r="21" spans="1:6" ht="26.4" x14ac:dyDescent="0.3">
      <c r="A21" s="3" t="s">
        <v>365</v>
      </c>
      <c r="B21" s="31">
        <v>2</v>
      </c>
      <c r="C21" s="3" t="s">
        <v>268</v>
      </c>
    </row>
    <row r="22" spans="1:6" ht="39.6" x14ac:dyDescent="0.3">
      <c r="A22" s="3" t="s">
        <v>366</v>
      </c>
      <c r="B22" s="31">
        <v>3</v>
      </c>
      <c r="C22" s="3" t="s">
        <v>268</v>
      </c>
    </row>
    <row r="23" spans="1:6" ht="26.4" x14ac:dyDescent="0.3">
      <c r="A23" s="3" t="s">
        <v>367</v>
      </c>
      <c r="B23" s="31">
        <v>1.5</v>
      </c>
      <c r="C23" s="3" t="s">
        <v>268</v>
      </c>
    </row>
    <row r="24" spans="1:6" ht="26.4" x14ac:dyDescent="0.3">
      <c r="A24" s="3" t="s">
        <v>368</v>
      </c>
      <c r="B24" s="31">
        <v>1</v>
      </c>
      <c r="C24" s="3" t="s">
        <v>268</v>
      </c>
    </row>
    <row r="25" spans="1:6" x14ac:dyDescent="0.3">
      <c r="A25" s="3" t="s">
        <v>369</v>
      </c>
      <c r="B25" s="11">
        <v>0.1</v>
      </c>
      <c r="C25" s="3" t="s">
        <v>268</v>
      </c>
    </row>
    <row r="26" spans="1:6" x14ac:dyDescent="0.3">
      <c r="A26" s="12" t="s">
        <v>370</v>
      </c>
      <c r="B26" s="32">
        <f>SUM(B21:B24)</f>
        <v>7.5</v>
      </c>
      <c r="C26" s="12"/>
    </row>
    <row r="27" spans="1:6" ht="26.4" x14ac:dyDescent="0.3">
      <c r="A27" s="12" t="s">
        <v>371</v>
      </c>
      <c r="B27" s="32">
        <f>B26*(1+B25)</f>
        <v>8.25</v>
      </c>
      <c r="C27" s="12"/>
    </row>
    <row r="28" spans="1:6" x14ac:dyDescent="0.3">
      <c r="A28" s="12" t="s">
        <v>372</v>
      </c>
      <c r="B28" s="14">
        <f>B27/100</f>
        <v>8.2500000000000004E-2</v>
      </c>
      <c r="C2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Start Here</vt:lpstr>
      <vt:lpstr>Source Log</vt:lpstr>
      <vt:lpstr>Competitor Benchmark</vt:lpstr>
      <vt:lpstr>Segment Scoring</vt:lpstr>
      <vt:lpstr>Market Sizing</vt:lpstr>
      <vt:lpstr>Risks Pilot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 Ram</dc:creator>
  <cp:lastModifiedBy>Jayanth Ram</cp:lastModifiedBy>
  <dcterms:created xsi:type="dcterms:W3CDTF">2026-10-22T09:49:15Z</dcterms:created>
  <dcterms:modified xsi:type="dcterms:W3CDTF">2026-10-25T17:25:40Z</dcterms:modified>
</cp:coreProperties>
</file>